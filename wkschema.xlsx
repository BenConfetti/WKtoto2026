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jes\Toto WK\"/>
    </mc:Choice>
  </mc:AlternateContent>
  <xr:revisionPtr revIDLastSave="0" documentId="8_{E8D9961F-CBD4-40BC-A7F6-CB5837FB1203}" xr6:coauthVersionLast="47" xr6:coauthVersionMax="47" xr10:uidLastSave="{00000000-0000-0000-0000-000000000000}"/>
  <bookViews>
    <workbookView xWindow="-110" yWindow="-110" windowWidth="25820" windowHeight="15500" xr2:uid="{D851C5C8-443B-40B9-8BF5-3C86EC992DCD}"/>
  </bookViews>
  <sheets>
    <sheet name="DailySchedule" sheetId="2" r:id="rId1"/>
    <sheet name="Blad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M2" i="2"/>
  <c r="B3" i="2"/>
  <c r="C3" i="2"/>
  <c r="D3" i="2"/>
  <c r="E3" i="2"/>
  <c r="F3" i="2"/>
  <c r="G3" i="2"/>
  <c r="I3" i="2"/>
  <c r="J3" i="2"/>
  <c r="M3" i="2"/>
  <c r="B4" i="2"/>
  <c r="C4" i="2"/>
  <c r="D4" i="2"/>
  <c r="E4" i="2"/>
  <c r="G4" i="2"/>
  <c r="H4" i="2"/>
  <c r="I4" i="2"/>
  <c r="B5" i="2"/>
  <c r="C5" i="2"/>
  <c r="D5" i="2"/>
  <c r="E5" i="2"/>
  <c r="G5" i="2"/>
  <c r="H5" i="2"/>
  <c r="I5" i="2"/>
  <c r="B7" i="2"/>
  <c r="C7" i="2"/>
  <c r="D7" i="2"/>
  <c r="E7" i="2"/>
  <c r="G7" i="2"/>
  <c r="H7" i="2"/>
  <c r="I7" i="2"/>
  <c r="N7" i="2"/>
  <c r="B8" i="2"/>
  <c r="C8" i="2"/>
  <c r="D8" i="2"/>
  <c r="E8" i="2"/>
  <c r="G8" i="2"/>
  <c r="H8" i="2"/>
  <c r="I8" i="2"/>
  <c r="N8" i="2"/>
  <c r="N9" i="2"/>
  <c r="B10" i="2"/>
  <c r="C10" i="2"/>
  <c r="D10" i="2"/>
  <c r="E10" i="2"/>
  <c r="G10" i="2"/>
  <c r="H10" i="2"/>
  <c r="I10" i="2"/>
  <c r="N10" i="2"/>
  <c r="B11" i="2"/>
  <c r="C11" i="2"/>
  <c r="D11" i="2"/>
  <c r="E11" i="2"/>
  <c r="G11" i="2"/>
  <c r="H11" i="2"/>
  <c r="I11" i="2"/>
  <c r="B12" i="2"/>
  <c r="C12" i="2"/>
  <c r="D12" i="2"/>
  <c r="E12" i="2"/>
  <c r="G12" i="2"/>
  <c r="H12" i="2"/>
  <c r="I12" i="2"/>
  <c r="B13" i="2"/>
  <c r="C13" i="2"/>
  <c r="D13" i="2"/>
  <c r="E13" i="2"/>
  <c r="G13" i="2"/>
  <c r="H13" i="2"/>
  <c r="I13" i="2"/>
  <c r="B15" i="2"/>
  <c r="C15" i="2"/>
  <c r="D15" i="2"/>
  <c r="E15" i="2"/>
  <c r="G15" i="2"/>
  <c r="H15" i="2"/>
  <c r="I15" i="2"/>
  <c r="B16" i="2"/>
  <c r="C16" i="2"/>
  <c r="D16" i="2"/>
  <c r="E16" i="2"/>
  <c r="G16" i="2"/>
  <c r="H16" i="2"/>
  <c r="I16" i="2"/>
  <c r="B17" i="2"/>
  <c r="C17" i="2"/>
  <c r="D17" i="2"/>
  <c r="E17" i="2"/>
  <c r="G17" i="2"/>
  <c r="H17" i="2"/>
  <c r="I17" i="2"/>
  <c r="B18" i="2"/>
  <c r="C18" i="2"/>
  <c r="D18" i="2"/>
  <c r="E18" i="2"/>
  <c r="G18" i="2"/>
  <c r="H18" i="2"/>
  <c r="I18" i="2"/>
  <c r="B20" i="2"/>
  <c r="C20" i="2"/>
  <c r="D20" i="2"/>
  <c r="E20" i="2"/>
  <c r="G20" i="2"/>
  <c r="H20" i="2"/>
  <c r="I20" i="2"/>
  <c r="B21" i="2"/>
  <c r="C21" i="2"/>
  <c r="D21" i="2"/>
  <c r="E21" i="2"/>
  <c r="G21" i="2"/>
  <c r="H21" i="2"/>
  <c r="I21" i="2"/>
  <c r="B22" i="2"/>
  <c r="C22" i="2"/>
  <c r="D22" i="2"/>
  <c r="E22" i="2"/>
  <c r="G22" i="2"/>
  <c r="H22" i="2"/>
  <c r="I22" i="2"/>
  <c r="B23" i="2"/>
  <c r="C23" i="2"/>
  <c r="D23" i="2"/>
  <c r="E23" i="2"/>
  <c r="G23" i="2"/>
  <c r="H23" i="2"/>
  <c r="I23" i="2"/>
  <c r="B25" i="2"/>
  <c r="C25" i="2"/>
  <c r="D25" i="2"/>
  <c r="E25" i="2"/>
  <c r="G25" i="2"/>
  <c r="H25" i="2"/>
  <c r="I25" i="2"/>
  <c r="B26" i="2"/>
  <c r="C26" i="2"/>
  <c r="D26" i="2"/>
  <c r="E26" i="2"/>
  <c r="G26" i="2"/>
  <c r="H26" i="2"/>
  <c r="I26" i="2"/>
  <c r="B27" i="2"/>
  <c r="C27" i="2"/>
  <c r="D27" i="2"/>
  <c r="E27" i="2"/>
  <c r="G27" i="2"/>
  <c r="H27" i="2"/>
  <c r="I27" i="2"/>
  <c r="B28" i="2"/>
  <c r="C28" i="2"/>
  <c r="D28" i="2"/>
  <c r="E28" i="2"/>
  <c r="G28" i="2"/>
  <c r="H28" i="2"/>
  <c r="I28" i="2"/>
  <c r="B30" i="2"/>
  <c r="C30" i="2"/>
  <c r="D30" i="2"/>
  <c r="E30" i="2"/>
  <c r="G30" i="2"/>
  <c r="H30" i="2"/>
  <c r="I30" i="2"/>
  <c r="B31" i="2"/>
  <c r="C31" i="2"/>
  <c r="D31" i="2"/>
  <c r="E31" i="2"/>
  <c r="G31" i="2"/>
  <c r="H31" i="2"/>
  <c r="I31" i="2"/>
  <c r="B32" i="2"/>
  <c r="C32" i="2"/>
  <c r="D32" i="2"/>
  <c r="E32" i="2"/>
  <c r="G32" i="2"/>
  <c r="H32" i="2"/>
  <c r="I32" i="2"/>
  <c r="B33" i="2"/>
  <c r="C33" i="2"/>
  <c r="D33" i="2"/>
  <c r="E33" i="2"/>
  <c r="G33" i="2"/>
  <c r="H33" i="2"/>
  <c r="I33" i="2"/>
  <c r="B35" i="2"/>
  <c r="C35" i="2"/>
  <c r="D35" i="2"/>
  <c r="E35" i="2"/>
  <c r="G35" i="2"/>
  <c r="H35" i="2"/>
  <c r="I35" i="2"/>
  <c r="B36" i="2"/>
  <c r="C36" i="2"/>
  <c r="D36" i="2"/>
  <c r="E36" i="2"/>
  <c r="G36" i="2"/>
  <c r="H36" i="2"/>
  <c r="I36" i="2"/>
  <c r="B37" i="2"/>
  <c r="C37" i="2"/>
  <c r="D37" i="2"/>
  <c r="E37" i="2"/>
  <c r="G37" i="2"/>
  <c r="H37" i="2"/>
  <c r="I37" i="2"/>
  <c r="B38" i="2"/>
  <c r="C38" i="2"/>
  <c r="D38" i="2"/>
  <c r="E38" i="2"/>
  <c r="G38" i="2"/>
  <c r="H38" i="2"/>
  <c r="I38" i="2"/>
  <c r="B40" i="2"/>
  <c r="C40" i="2"/>
  <c r="D40" i="2"/>
  <c r="E40" i="2"/>
  <c r="G40" i="2"/>
  <c r="H40" i="2"/>
  <c r="I40" i="2"/>
  <c r="B41" i="2"/>
  <c r="C41" i="2"/>
  <c r="D41" i="2"/>
  <c r="E41" i="2"/>
  <c r="G41" i="2"/>
  <c r="H41" i="2"/>
  <c r="I41" i="2"/>
  <c r="B42" i="2"/>
  <c r="C42" i="2"/>
  <c r="D42" i="2"/>
  <c r="E42" i="2"/>
  <c r="G42" i="2"/>
  <c r="H42" i="2"/>
  <c r="I42" i="2"/>
  <c r="B43" i="2"/>
  <c r="C43" i="2"/>
  <c r="D43" i="2"/>
  <c r="E43" i="2"/>
  <c r="G43" i="2"/>
  <c r="H43" i="2"/>
  <c r="I43" i="2"/>
  <c r="B45" i="2"/>
  <c r="C45" i="2"/>
  <c r="D45" i="2"/>
  <c r="E45" i="2"/>
  <c r="G45" i="2"/>
  <c r="H45" i="2"/>
  <c r="I45" i="2"/>
  <c r="B46" i="2"/>
  <c r="C46" i="2"/>
  <c r="D46" i="2"/>
  <c r="E46" i="2"/>
  <c r="G46" i="2"/>
  <c r="H46" i="2"/>
  <c r="I46" i="2"/>
  <c r="B47" i="2"/>
  <c r="C47" i="2"/>
  <c r="D47" i="2"/>
  <c r="E47" i="2"/>
  <c r="G47" i="2"/>
  <c r="H47" i="2"/>
  <c r="I47" i="2"/>
  <c r="B48" i="2"/>
  <c r="C48" i="2"/>
  <c r="D48" i="2"/>
  <c r="E48" i="2"/>
  <c r="G48" i="2"/>
  <c r="H48" i="2"/>
  <c r="I48" i="2"/>
  <c r="B50" i="2"/>
  <c r="C50" i="2"/>
  <c r="D50" i="2"/>
  <c r="E50" i="2"/>
  <c r="G50" i="2"/>
  <c r="H50" i="2"/>
  <c r="I50" i="2"/>
  <c r="B51" i="2"/>
  <c r="C51" i="2"/>
  <c r="D51" i="2"/>
  <c r="E51" i="2"/>
  <c r="G51" i="2"/>
  <c r="H51" i="2"/>
  <c r="I51" i="2"/>
  <c r="B52" i="2"/>
  <c r="C52" i="2"/>
  <c r="D52" i="2"/>
  <c r="E52" i="2"/>
  <c r="G52" i="2"/>
  <c r="H52" i="2"/>
  <c r="I52" i="2"/>
  <c r="B53" i="2"/>
  <c r="C53" i="2"/>
  <c r="D53" i="2"/>
  <c r="E53" i="2"/>
  <c r="G53" i="2"/>
  <c r="H53" i="2"/>
  <c r="I53" i="2"/>
  <c r="B55" i="2"/>
  <c r="C55" i="2"/>
  <c r="D55" i="2"/>
  <c r="E55" i="2"/>
  <c r="G55" i="2"/>
  <c r="H55" i="2"/>
  <c r="I55" i="2"/>
  <c r="B56" i="2"/>
  <c r="C56" i="2"/>
  <c r="D56" i="2"/>
  <c r="E56" i="2"/>
  <c r="G56" i="2"/>
  <c r="H56" i="2"/>
  <c r="I56" i="2"/>
  <c r="B57" i="2"/>
  <c r="C57" i="2"/>
  <c r="D57" i="2"/>
  <c r="E57" i="2"/>
  <c r="G57" i="2"/>
  <c r="H57" i="2"/>
  <c r="I57" i="2"/>
  <c r="B58" i="2"/>
  <c r="C58" i="2"/>
  <c r="D58" i="2"/>
  <c r="E58" i="2"/>
  <c r="G58" i="2"/>
  <c r="H58" i="2"/>
  <c r="I58" i="2"/>
  <c r="B60" i="2"/>
  <c r="C60" i="2"/>
  <c r="D60" i="2"/>
  <c r="E60" i="2"/>
  <c r="G60" i="2"/>
  <c r="H60" i="2"/>
  <c r="I60" i="2"/>
  <c r="B61" i="2"/>
  <c r="C61" i="2"/>
  <c r="D61" i="2"/>
  <c r="E61" i="2"/>
  <c r="G61" i="2"/>
  <c r="H61" i="2"/>
  <c r="I61" i="2"/>
  <c r="B62" i="2"/>
  <c r="C62" i="2"/>
  <c r="D62" i="2"/>
  <c r="E62" i="2"/>
  <c r="G62" i="2"/>
  <c r="H62" i="2"/>
  <c r="I62" i="2"/>
  <c r="B63" i="2"/>
  <c r="C63" i="2"/>
  <c r="D63" i="2"/>
  <c r="E63" i="2"/>
  <c r="G63" i="2"/>
  <c r="H63" i="2"/>
  <c r="I63" i="2"/>
  <c r="B65" i="2"/>
  <c r="C65" i="2"/>
  <c r="D65" i="2"/>
  <c r="E65" i="2"/>
  <c r="G65" i="2"/>
  <c r="H65" i="2"/>
  <c r="I65" i="2"/>
  <c r="B66" i="2"/>
  <c r="C66" i="2"/>
  <c r="D66" i="2"/>
  <c r="E66" i="2"/>
  <c r="G66" i="2"/>
  <c r="H66" i="2"/>
  <c r="I66" i="2"/>
  <c r="B67" i="2"/>
  <c r="C67" i="2"/>
  <c r="D67" i="2"/>
  <c r="E67" i="2"/>
  <c r="G67" i="2"/>
  <c r="H67" i="2"/>
  <c r="I67" i="2"/>
  <c r="B68" i="2"/>
  <c r="C68" i="2"/>
  <c r="D68" i="2"/>
  <c r="E68" i="2"/>
  <c r="G68" i="2"/>
  <c r="H68" i="2"/>
  <c r="I68" i="2"/>
  <c r="B69" i="2"/>
  <c r="C69" i="2"/>
  <c r="D69" i="2"/>
  <c r="E69" i="2"/>
  <c r="G69" i="2"/>
  <c r="H69" i="2"/>
  <c r="I69" i="2"/>
  <c r="B70" i="2"/>
  <c r="C70" i="2"/>
  <c r="D70" i="2"/>
  <c r="E70" i="2"/>
  <c r="G70" i="2"/>
  <c r="H70" i="2"/>
  <c r="I70" i="2"/>
  <c r="B72" i="2"/>
  <c r="C72" i="2"/>
  <c r="D72" i="2"/>
  <c r="E72" i="2"/>
  <c r="G72" i="2"/>
  <c r="H72" i="2"/>
  <c r="I72" i="2"/>
  <c r="B73" i="2"/>
  <c r="C73" i="2"/>
  <c r="D73" i="2"/>
  <c r="E73" i="2"/>
  <c r="G73" i="2"/>
  <c r="H73" i="2"/>
  <c r="I73" i="2"/>
  <c r="B74" i="2"/>
  <c r="C74" i="2"/>
  <c r="D74" i="2"/>
  <c r="E74" i="2"/>
  <c r="G74" i="2"/>
  <c r="H74" i="2"/>
  <c r="I74" i="2"/>
  <c r="B75" i="2"/>
  <c r="C75" i="2"/>
  <c r="D75" i="2"/>
  <c r="E75" i="2"/>
  <c r="G75" i="2"/>
  <c r="H75" i="2"/>
  <c r="I75" i="2"/>
  <c r="B76" i="2"/>
  <c r="C76" i="2"/>
  <c r="D76" i="2"/>
  <c r="E76" i="2"/>
  <c r="G76" i="2"/>
  <c r="H76" i="2"/>
  <c r="I76" i="2"/>
  <c r="B77" i="2"/>
  <c r="C77" i="2"/>
  <c r="D77" i="2"/>
  <c r="E77" i="2"/>
  <c r="G77" i="2"/>
  <c r="H77" i="2"/>
  <c r="I77" i="2"/>
  <c r="B79" i="2"/>
  <c r="C79" i="2"/>
  <c r="D79" i="2"/>
  <c r="E79" i="2"/>
  <c r="G79" i="2"/>
  <c r="H79" i="2"/>
  <c r="I79" i="2"/>
  <c r="B80" i="2"/>
  <c r="C80" i="2"/>
  <c r="D80" i="2"/>
  <c r="E80" i="2"/>
  <c r="G80" i="2"/>
  <c r="H80" i="2"/>
  <c r="I80" i="2"/>
  <c r="B81" i="2"/>
  <c r="C81" i="2"/>
  <c r="D81" i="2"/>
  <c r="E81" i="2"/>
  <c r="G81" i="2"/>
  <c r="H81" i="2"/>
  <c r="I81" i="2"/>
  <c r="B82" i="2"/>
  <c r="C82" i="2"/>
  <c r="D82" i="2"/>
  <c r="E82" i="2"/>
  <c r="G82" i="2"/>
  <c r="H82" i="2"/>
  <c r="I82" i="2"/>
  <c r="B83" i="2"/>
  <c r="C83" i="2"/>
  <c r="D83" i="2"/>
  <c r="E83" i="2"/>
  <c r="G83" i="2"/>
  <c r="H83" i="2"/>
  <c r="I83" i="2"/>
  <c r="B84" i="2"/>
  <c r="C84" i="2"/>
  <c r="D84" i="2"/>
  <c r="E84" i="2"/>
  <c r="G84" i="2"/>
  <c r="H84" i="2"/>
  <c r="I84" i="2"/>
  <c r="B86" i="2"/>
  <c r="C86" i="2"/>
  <c r="D86" i="2"/>
  <c r="E86" i="2"/>
  <c r="G86" i="2"/>
  <c r="H86" i="2"/>
  <c r="I86" i="2"/>
  <c r="B87" i="2"/>
  <c r="C87" i="2"/>
  <c r="D87" i="2"/>
  <c r="E87" i="2"/>
  <c r="G87" i="2"/>
  <c r="H87" i="2"/>
  <c r="I87" i="2"/>
  <c r="B88" i="2"/>
  <c r="C88" i="2"/>
  <c r="D88" i="2"/>
  <c r="E88" i="2"/>
  <c r="G88" i="2"/>
  <c r="H88" i="2"/>
  <c r="I88" i="2"/>
  <c r="B89" i="2"/>
  <c r="C89" i="2"/>
  <c r="D89" i="2"/>
  <c r="E89" i="2"/>
  <c r="G89" i="2"/>
  <c r="H89" i="2"/>
  <c r="I89" i="2"/>
  <c r="B90" i="2"/>
  <c r="C90" i="2"/>
  <c r="D90" i="2"/>
  <c r="E90" i="2"/>
  <c r="G90" i="2"/>
  <c r="H90" i="2"/>
  <c r="I90" i="2"/>
  <c r="B91" i="2"/>
  <c r="C91" i="2"/>
  <c r="D91" i="2"/>
  <c r="E91" i="2"/>
  <c r="G91" i="2"/>
  <c r="H91" i="2"/>
  <c r="I91" i="2"/>
  <c r="B93" i="2"/>
  <c r="B94" i="2"/>
  <c r="C94" i="2"/>
  <c r="D94" i="2"/>
  <c r="E94" i="2"/>
  <c r="G94" i="2"/>
  <c r="H94" i="2"/>
  <c r="I94" i="2"/>
  <c r="B96" i="2"/>
  <c r="C96" i="2"/>
  <c r="D96" i="2"/>
  <c r="E96" i="2"/>
  <c r="G96" i="2"/>
  <c r="H96" i="2"/>
  <c r="I96" i="2"/>
  <c r="B97" i="2"/>
  <c r="C97" i="2"/>
  <c r="D97" i="2"/>
  <c r="E97" i="2"/>
  <c r="G97" i="2"/>
  <c r="H97" i="2"/>
  <c r="I97" i="2"/>
  <c r="B98" i="2"/>
  <c r="C98" i="2"/>
  <c r="D98" i="2"/>
  <c r="E98" i="2"/>
  <c r="G98" i="2"/>
  <c r="H98" i="2"/>
  <c r="I98" i="2"/>
  <c r="B100" i="2"/>
  <c r="C100" i="2"/>
  <c r="D100" i="2"/>
  <c r="E100" i="2"/>
  <c r="G100" i="2"/>
  <c r="H100" i="2"/>
  <c r="I100" i="2"/>
  <c r="B101" i="2"/>
  <c r="C101" i="2"/>
  <c r="D101" i="2"/>
  <c r="E101" i="2"/>
  <c r="G101" i="2"/>
  <c r="H101" i="2"/>
  <c r="I101" i="2"/>
  <c r="B102" i="2"/>
  <c r="C102" i="2"/>
  <c r="D102" i="2"/>
  <c r="E102" i="2"/>
  <c r="G102" i="2"/>
  <c r="H102" i="2"/>
  <c r="I102" i="2"/>
  <c r="B104" i="2"/>
  <c r="C104" i="2"/>
  <c r="D104" i="2"/>
  <c r="E104" i="2"/>
  <c r="G104" i="2"/>
  <c r="H104" i="2"/>
  <c r="I104" i="2"/>
  <c r="B105" i="2"/>
  <c r="C105" i="2"/>
  <c r="D105" i="2"/>
  <c r="E105" i="2"/>
  <c r="G105" i="2"/>
  <c r="H105" i="2"/>
  <c r="I105" i="2"/>
  <c r="B106" i="2"/>
  <c r="C106" i="2"/>
  <c r="D106" i="2"/>
  <c r="E106" i="2"/>
  <c r="G106" i="2"/>
  <c r="H106" i="2"/>
  <c r="I106" i="2"/>
  <c r="B108" i="2"/>
  <c r="C108" i="2"/>
  <c r="D108" i="2"/>
  <c r="E108" i="2"/>
  <c r="G108" i="2"/>
  <c r="H108" i="2"/>
  <c r="I108" i="2"/>
  <c r="B109" i="2"/>
  <c r="C109" i="2"/>
  <c r="D109" i="2"/>
  <c r="E109" i="2"/>
  <c r="G109" i="2"/>
  <c r="H109" i="2"/>
  <c r="I109" i="2"/>
  <c r="B110" i="2"/>
  <c r="C110" i="2"/>
  <c r="D110" i="2"/>
  <c r="E110" i="2"/>
  <c r="G110" i="2"/>
  <c r="H110" i="2"/>
  <c r="I110" i="2"/>
  <c r="B112" i="2"/>
  <c r="C112" i="2"/>
  <c r="D112" i="2"/>
  <c r="E112" i="2"/>
  <c r="G112" i="2"/>
  <c r="H112" i="2"/>
  <c r="I112" i="2"/>
  <c r="B113" i="2"/>
  <c r="C113" i="2"/>
  <c r="D113" i="2"/>
  <c r="E113" i="2"/>
  <c r="G113" i="2"/>
  <c r="H113" i="2"/>
  <c r="I113" i="2"/>
  <c r="B114" i="2"/>
  <c r="C114" i="2"/>
  <c r="D114" i="2"/>
  <c r="E114" i="2"/>
  <c r="G114" i="2"/>
  <c r="H114" i="2"/>
  <c r="I114" i="2"/>
  <c r="B116" i="2"/>
  <c r="B117" i="2"/>
  <c r="C117" i="2"/>
  <c r="D117" i="2"/>
  <c r="E117" i="2"/>
  <c r="G117" i="2"/>
  <c r="H117" i="2"/>
  <c r="I117" i="2"/>
  <c r="B118" i="2"/>
  <c r="C118" i="2"/>
  <c r="D118" i="2"/>
  <c r="E118" i="2"/>
  <c r="G118" i="2"/>
  <c r="H118" i="2"/>
  <c r="I118" i="2"/>
  <c r="B120" i="2"/>
  <c r="C120" i="2"/>
  <c r="D120" i="2"/>
  <c r="E120" i="2"/>
  <c r="G120" i="2"/>
  <c r="H120" i="2"/>
  <c r="I120" i="2"/>
  <c r="B121" i="2"/>
  <c r="C121" i="2"/>
  <c r="D121" i="2"/>
  <c r="E121" i="2"/>
  <c r="G121" i="2"/>
  <c r="H121" i="2"/>
  <c r="I121" i="2"/>
  <c r="B123" i="2"/>
  <c r="C123" i="2"/>
  <c r="D123" i="2"/>
  <c r="E123" i="2"/>
  <c r="G123" i="2"/>
  <c r="H123" i="2"/>
  <c r="I123" i="2"/>
  <c r="B124" i="2"/>
  <c r="C124" i="2"/>
  <c r="D124" i="2"/>
  <c r="E124" i="2"/>
  <c r="G124" i="2"/>
  <c r="H124" i="2"/>
  <c r="I124" i="2"/>
  <c r="B126" i="2"/>
  <c r="C126" i="2"/>
  <c r="D126" i="2"/>
  <c r="E126" i="2"/>
  <c r="G126" i="2"/>
  <c r="H126" i="2"/>
  <c r="I126" i="2"/>
  <c r="B127" i="2"/>
  <c r="C127" i="2"/>
  <c r="D127" i="2"/>
  <c r="E127" i="2"/>
  <c r="G127" i="2"/>
  <c r="H127" i="2"/>
  <c r="I127" i="2"/>
  <c r="B129" i="2"/>
  <c r="B130" i="2"/>
  <c r="C130" i="2"/>
  <c r="D130" i="2"/>
  <c r="E130" i="2"/>
  <c r="G130" i="2"/>
  <c r="H130" i="2"/>
  <c r="I130" i="2"/>
  <c r="B132" i="2"/>
  <c r="C132" i="2"/>
  <c r="D132" i="2"/>
  <c r="E132" i="2"/>
  <c r="G132" i="2"/>
  <c r="H132" i="2"/>
  <c r="I132" i="2"/>
  <c r="B134" i="2"/>
  <c r="C134" i="2"/>
  <c r="D134" i="2"/>
  <c r="E134" i="2"/>
  <c r="G134" i="2"/>
  <c r="H134" i="2"/>
  <c r="I134" i="2"/>
  <c r="B135" i="2"/>
  <c r="C135" i="2"/>
  <c r="D135" i="2"/>
  <c r="E135" i="2"/>
  <c r="G135" i="2"/>
  <c r="H135" i="2"/>
  <c r="I135" i="2"/>
  <c r="B137" i="2"/>
  <c r="B138" i="2"/>
  <c r="C138" i="2"/>
  <c r="D138" i="2"/>
  <c r="E138" i="2"/>
  <c r="G138" i="2"/>
  <c r="H138" i="2"/>
  <c r="I138" i="2"/>
  <c r="B140" i="2"/>
  <c r="C140" i="2"/>
  <c r="D140" i="2"/>
  <c r="E140" i="2"/>
  <c r="G140" i="2"/>
  <c r="H140" i="2"/>
  <c r="I140" i="2"/>
  <c r="B142" i="2"/>
  <c r="B143" i="2"/>
  <c r="C143" i="2"/>
  <c r="D143" i="2"/>
  <c r="E143" i="2"/>
  <c r="G143" i="2"/>
  <c r="H143" i="2"/>
  <c r="I143" i="2"/>
  <c r="B145" i="2"/>
  <c r="B146" i="2"/>
  <c r="C146" i="2"/>
  <c r="D146" i="2"/>
  <c r="E146" i="2"/>
  <c r="G146" i="2"/>
  <c r="H146" i="2"/>
  <c r="I146" i="2"/>
</calcChain>
</file>

<file path=xl/sharedStrings.xml><?xml version="1.0" encoding="utf-8"?>
<sst xmlns="http://schemas.openxmlformats.org/spreadsheetml/2006/main" count="5" uniqueCount="5">
  <si>
    <t>A1</t>
  </si>
  <si>
    <t>B1</t>
  </si>
  <si>
    <t>D1</t>
  </si>
  <si>
    <t>L1</t>
  </si>
  <si>
    <t>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</si>
</sst>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ddd\,\ dd/mm/yyyy\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2"/>
      <color theme="1"/>
      <name val="Wingdings 3"/>
      <family val="1"/>
      <charset val="2"/>
    </font>
    <font>
      <b/>
      <sz val="9"/>
      <color theme="1"/>
      <name val="Aptos Narrow"/>
      <family val="2"/>
      <scheme val="minor"/>
    </font>
    <font>
      <sz val="9"/>
      <color theme="5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rgb="FF007CFF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AA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CD2FF"/>
        <bgColor indexed="64"/>
      </patternFill>
    </fill>
    <fill>
      <patternFill patternType="solid">
        <fgColor rgb="FFFFAF23"/>
        <bgColor indexed="64"/>
      </patternFill>
    </fill>
    <fill>
      <patternFill patternType="solid">
        <fgColor rgb="FFB4DC78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6795556505021"/>
      </left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n">
        <color theme="0" tint="-0.14996795556505021"/>
      </right>
      <top/>
      <bottom style="thick">
        <color theme="0" tint="-0.24994659260841701"/>
      </bottom>
      <diagonal/>
    </border>
    <border>
      <left/>
      <right style="thick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2499465926084170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ck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24994659260841701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medium">
        <color theme="7" tint="0.39994506668294322"/>
      </left>
      <right style="medium">
        <color theme="7" tint="0.39994506668294322"/>
      </right>
      <top style="thin">
        <color theme="2" tint="-9.9948118533890809E-2"/>
      </top>
      <bottom style="medium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450666829432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2" tint="-9.9948118533890809E-2"/>
      </bottom>
      <diagonal/>
    </border>
    <border>
      <left style="thin">
        <color theme="0" tint="-0.14996795556505021"/>
      </left>
      <right style="thick">
        <color theme="0" tint="-0.24994659260841701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ck">
        <color theme="0" tint="-0.24994659260841701"/>
      </left>
      <right style="thin">
        <color theme="0" tint="-0.14996795556505021"/>
      </right>
      <top style="thick">
        <color theme="0" tint="-0.24994659260841701"/>
      </top>
      <bottom style="medium">
        <color theme="0" tint="-0.1499679555650502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right" indent="2"/>
      <protection locked="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 indent="2"/>
    </xf>
    <xf numFmtId="0" fontId="0" fillId="3" borderId="2" xfId="0" quotePrefix="1" applyFill="1" applyBorder="1" applyAlignment="1">
      <alignment horizontal="left" indent="1"/>
    </xf>
    <xf numFmtId="164" fontId="0" fillId="0" borderId="2" xfId="0" applyNumberFormat="1" applyBorder="1" applyAlignment="1">
      <alignment horizontal="right" indent="2"/>
    </xf>
    <xf numFmtId="165" fontId="1" fillId="0" borderId="4" xfId="0" applyNumberFormat="1" applyFont="1" applyBorder="1" applyAlignment="1">
      <alignment horizontal="right" indent="2"/>
    </xf>
    <xf numFmtId="0" fontId="0" fillId="4" borderId="5" xfId="0" applyFill="1" applyBorder="1"/>
    <xf numFmtId="0" fontId="0" fillId="4" borderId="6" xfId="0" applyFill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/>
    <xf numFmtId="0" fontId="0" fillId="4" borderId="7" xfId="0" applyFill="1" applyBorder="1" applyAlignment="1">
      <alignment horizontal="left" indent="1"/>
    </xf>
    <xf numFmtId="164" fontId="0" fillId="4" borderId="7" xfId="0" applyNumberFormat="1" applyFill="1" applyBorder="1" applyAlignment="1">
      <alignment horizontal="left" indent="1"/>
    </xf>
    <xf numFmtId="0" fontId="2" fillId="4" borderId="8" xfId="0" applyFont="1" applyFill="1" applyBorder="1" applyAlignment="1">
      <alignment horizontal="left" indent="1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right" indent="2"/>
    </xf>
    <xf numFmtId="0" fontId="0" fillId="0" borderId="7" xfId="0" applyBorder="1" applyAlignment="1">
      <alignment horizontal="left" indent="1"/>
    </xf>
    <xf numFmtId="164" fontId="0" fillId="0" borderId="7" xfId="0" applyNumberFormat="1" applyBorder="1" applyAlignment="1">
      <alignment horizontal="right" indent="2"/>
    </xf>
    <xf numFmtId="165" fontId="1" fillId="0" borderId="8" xfId="0" applyNumberFormat="1" applyFont="1" applyBorder="1" applyAlignment="1">
      <alignment horizontal="right" indent="2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right" indent="2"/>
      <protection locked="0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right" indent="2"/>
    </xf>
    <xf numFmtId="0" fontId="0" fillId="3" borderId="11" xfId="0" quotePrefix="1" applyFill="1" applyBorder="1" applyAlignment="1">
      <alignment horizontal="left" indent="1"/>
    </xf>
    <xf numFmtId="164" fontId="0" fillId="0" borderId="11" xfId="0" applyNumberFormat="1" applyBorder="1" applyAlignment="1">
      <alignment horizontal="right" indent="2"/>
    </xf>
    <xf numFmtId="165" fontId="1" fillId="0" borderId="13" xfId="0" applyNumberFormat="1" applyFont="1" applyBorder="1" applyAlignment="1">
      <alignment horizontal="right" indent="2"/>
    </xf>
    <xf numFmtId="0" fontId="0" fillId="3" borderId="12" xfId="0" quotePrefix="1" applyFill="1" applyBorder="1" applyAlignment="1">
      <alignment horizontal="left" indent="1"/>
    </xf>
    <xf numFmtId="164" fontId="0" fillId="0" borderId="12" xfId="0" applyNumberFormat="1" applyBorder="1" applyAlignment="1">
      <alignment horizontal="right" indent="2"/>
    </xf>
    <xf numFmtId="165" fontId="1" fillId="0" borderId="14" xfId="0" applyNumberFormat="1" applyFont="1" applyBorder="1" applyAlignment="1">
      <alignment horizontal="right" indent="2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right" indent="2"/>
    </xf>
    <xf numFmtId="0" fontId="0" fillId="0" borderId="11" xfId="0" quotePrefix="1" applyBorder="1" applyAlignment="1">
      <alignment horizontal="left" indent="1"/>
    </xf>
    <xf numFmtId="0" fontId="0" fillId="3" borderId="11" xfId="0" applyFill="1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7" xfId="0" applyFill="1" applyBorder="1" applyAlignment="1">
      <alignment horizontal="left" indent="1"/>
    </xf>
    <xf numFmtId="0" fontId="0" fillId="5" borderId="0" xfId="0" applyFill="1" applyAlignment="1">
      <alignment horizontal="left" indent="1"/>
    </xf>
    <xf numFmtId="0" fontId="0" fillId="6" borderId="17" xfId="0" applyFill="1" applyBorder="1" applyAlignment="1" applyProtection="1">
      <alignment horizontal="center"/>
      <protection locked="0"/>
    </xf>
    <xf numFmtId="0" fontId="0" fillId="7" borderId="0" xfId="0" applyFill="1" applyAlignment="1">
      <alignment horizontal="left" indent="1"/>
    </xf>
    <xf numFmtId="0" fontId="0" fillId="6" borderId="18" xfId="0" applyFill="1" applyBorder="1" applyAlignment="1" applyProtection="1">
      <alignment horizontal="center"/>
      <protection locked="0"/>
    </xf>
    <xf numFmtId="0" fontId="0" fillId="8" borderId="0" xfId="0" applyFill="1" applyAlignment="1">
      <alignment horizontal="left" indent="1"/>
    </xf>
    <xf numFmtId="0" fontId="0" fillId="9" borderId="0" xfId="0" applyFill="1" applyAlignment="1">
      <alignment horizontal="left" indent="1"/>
    </xf>
    <xf numFmtId="0" fontId="0" fillId="6" borderId="19" xfId="0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Standaard" xfId="0" builtinId="0"/>
  </cellStyles>
  <dxfs count="5">
    <dxf>
      <fill>
        <patternFill>
          <bgColor rgb="FFB4DC78"/>
        </patternFill>
      </fill>
    </dxf>
    <dxf>
      <fill>
        <patternFill>
          <bgColor rgb="FFFFAF23"/>
        </patternFill>
      </fill>
    </dxf>
    <dxf>
      <fill>
        <patternFill>
          <bgColor rgb="FF3CD2FF"/>
        </patternFill>
      </fill>
    </dxf>
    <dxf>
      <fill>
        <patternFill>
          <bgColor rgb="FFD9AADA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jes\Toto%20WK\downloads\WCup_2026_4.2.5_en.xlsx" TargetMode="External"/><Relationship Id="rId1" Type="http://schemas.openxmlformats.org/officeDocument/2006/relationships/externalLinkPath" Target="downloads/WCup_2026_4.2.5_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Cup"/>
      <sheetName val="FairPlay"/>
      <sheetName val="HeadToHeadComp"/>
      <sheetName val="Predictions_1"/>
      <sheetName val="Predictions_Ranking_1"/>
      <sheetName val="Predictions_2"/>
      <sheetName val="Predictions_Ranking_2"/>
      <sheetName val="PrSettings"/>
      <sheetName val="Language"/>
      <sheetName val="TimeZone"/>
      <sheetName val="Help"/>
      <sheetName val="Groups"/>
      <sheetName val="Matches"/>
      <sheetName val="AssignThird"/>
      <sheetName val="ThirdPlaced"/>
      <sheetName val="Distinctness"/>
      <sheetName val="CalcA"/>
      <sheetName val="CalcB"/>
      <sheetName val="CalcC"/>
      <sheetName val="CalcD"/>
      <sheetName val="CalcE"/>
      <sheetName val="CalcF"/>
      <sheetName val="CalcG"/>
      <sheetName val="CalcH"/>
      <sheetName val="CalcI"/>
      <sheetName val="CalcJ"/>
      <sheetName val="CalcK"/>
      <sheetName val="CalcL"/>
    </sheetNames>
    <sheetDataSet>
      <sheetData sheetId="0">
        <row r="60">
          <cell r="B60" t="str">
            <v/>
          </cell>
          <cell r="C60" t="str">
            <v/>
          </cell>
          <cell r="E60" t="str">
            <v/>
          </cell>
          <cell r="F60" t="str">
            <v/>
          </cell>
          <cell r="H60" t="str">
            <v/>
          </cell>
          <cell r="I60" t="str">
            <v/>
          </cell>
          <cell r="K60" t="str">
            <v/>
          </cell>
          <cell r="L60" t="str">
            <v/>
          </cell>
          <cell r="N60" t="str">
            <v/>
          </cell>
          <cell r="O60" t="str">
            <v/>
          </cell>
          <cell r="Q60" t="str">
            <v/>
          </cell>
          <cell r="R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</row>
        <row r="70">
          <cell r="C70" t="str">
            <v/>
          </cell>
          <cell r="E70" t="str">
            <v/>
          </cell>
          <cell r="I70" t="str">
            <v/>
          </cell>
          <cell r="K70" t="str">
            <v/>
          </cell>
          <cell r="O70" t="str">
            <v/>
          </cell>
          <cell r="Q70" t="str">
            <v/>
          </cell>
          <cell r="U70" t="str">
            <v/>
          </cell>
          <cell r="W70" t="str">
            <v/>
          </cell>
        </row>
        <row r="80">
          <cell r="F80" t="str">
            <v/>
          </cell>
          <cell r="H80" t="str">
            <v/>
          </cell>
          <cell r="R80" t="str">
            <v/>
          </cell>
          <cell r="T80" t="str">
            <v/>
          </cell>
        </row>
        <row r="88">
          <cell r="L88" t="str">
            <v/>
          </cell>
          <cell r="N88" t="str">
            <v/>
          </cell>
        </row>
        <row r="98">
          <cell r="L98" t="str">
            <v/>
          </cell>
          <cell r="N9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72">
          <cell r="E172" t="str">
            <v>Third place</v>
          </cell>
        </row>
        <row r="173">
          <cell r="E173" t="str">
            <v>Final</v>
          </cell>
        </row>
        <row r="184">
          <cell r="E184" t="str">
            <v>TV channel</v>
          </cell>
        </row>
        <row r="185">
          <cell r="E185" t="str">
            <v>Venue</v>
          </cell>
        </row>
        <row r="250">
          <cell r="E250" t="str">
            <v>Daily schedule</v>
          </cell>
        </row>
        <row r="251">
          <cell r="E251" t="str">
            <v>Match No.</v>
          </cell>
        </row>
        <row r="252">
          <cell r="E252" t="str">
            <v>Teams</v>
          </cell>
        </row>
        <row r="253">
          <cell r="E253" t="str">
            <v>Time</v>
          </cell>
        </row>
        <row r="254">
          <cell r="E254" t="str">
            <v>Team 1</v>
          </cell>
        </row>
        <row r="255">
          <cell r="E255" t="str">
            <v>Team 2</v>
          </cell>
        </row>
        <row r="256">
          <cell r="E256" t="str">
            <v>Round of 32</v>
          </cell>
        </row>
        <row r="257">
          <cell r="E257" t="str">
            <v>Round of 16</v>
          </cell>
        </row>
        <row r="258">
          <cell r="E258" t="str">
            <v>Quarter final</v>
          </cell>
        </row>
        <row r="259">
          <cell r="E259" t="str">
            <v>Semi-Final</v>
          </cell>
        </row>
        <row r="260">
          <cell r="E260" t="str">
            <v>Date</v>
          </cell>
        </row>
        <row r="261">
          <cell r="E261" t="str">
            <v>Color favorites</v>
          </cell>
        </row>
        <row r="262">
          <cell r="E262" t="str">
            <v>Enter the group code here</v>
          </cell>
        </row>
      </sheetData>
      <sheetData sheetId="9"/>
      <sheetData sheetId="10"/>
      <sheetData sheetId="11">
        <row r="7">
          <cell r="B7" t="str">
            <v>A1</v>
          </cell>
          <cell r="C7">
            <v>15</v>
          </cell>
          <cell r="D7" t="str">
            <v>Mexico</v>
          </cell>
        </row>
        <row r="8">
          <cell r="B8" t="str">
            <v>A2</v>
          </cell>
          <cell r="C8">
            <v>60</v>
          </cell>
          <cell r="D8" t="str">
            <v>South Africa</v>
          </cell>
        </row>
        <row r="9">
          <cell r="B9" t="str">
            <v>A3</v>
          </cell>
          <cell r="C9">
            <v>25</v>
          </cell>
          <cell r="D9" t="str">
            <v>Rep. of Korea</v>
          </cell>
        </row>
        <row r="10">
          <cell r="B10" t="str">
            <v>A4</v>
          </cell>
          <cell r="C10">
            <v>41</v>
          </cell>
          <cell r="D10" t="str">
            <v>Czech Rep.</v>
          </cell>
        </row>
        <row r="11">
          <cell r="D11" t="str">
            <v>B</v>
          </cell>
        </row>
        <row r="12">
          <cell r="B12" t="str">
            <v>B1</v>
          </cell>
          <cell r="C12">
            <v>30</v>
          </cell>
          <cell r="D12" t="str">
            <v>Canada</v>
          </cell>
        </row>
        <row r="13">
          <cell r="B13" t="str">
            <v>B2</v>
          </cell>
          <cell r="C13">
            <v>65</v>
          </cell>
          <cell r="D13" t="str">
            <v>Bosnia/Herzeg.</v>
          </cell>
        </row>
        <row r="14">
          <cell r="B14" t="str">
            <v>B3</v>
          </cell>
          <cell r="C14">
            <v>55</v>
          </cell>
          <cell r="D14" t="str">
            <v>Qatar</v>
          </cell>
        </row>
        <row r="15">
          <cell r="B15" t="str">
            <v>B4</v>
          </cell>
          <cell r="C15">
            <v>19</v>
          </cell>
          <cell r="D15" t="str">
            <v>Switzerland</v>
          </cell>
        </row>
        <row r="16">
          <cell r="D16" t="str">
            <v>C</v>
          </cell>
        </row>
        <row r="17">
          <cell r="B17" t="str">
            <v>C1</v>
          </cell>
          <cell r="C17">
            <v>6</v>
          </cell>
          <cell r="D17" t="str">
            <v>Brazil</v>
          </cell>
        </row>
        <row r="18">
          <cell r="B18" t="str">
            <v>C2</v>
          </cell>
          <cell r="C18">
            <v>8</v>
          </cell>
          <cell r="D18" t="str">
            <v>Morocco</v>
          </cell>
        </row>
        <row r="19">
          <cell r="B19" t="str">
            <v>C3</v>
          </cell>
          <cell r="C19">
            <v>83</v>
          </cell>
          <cell r="D19" t="str">
            <v>Haiti</v>
          </cell>
        </row>
        <row r="20">
          <cell r="B20" t="str">
            <v>C4</v>
          </cell>
          <cell r="C20">
            <v>43</v>
          </cell>
          <cell r="D20" t="str">
            <v>Scotland</v>
          </cell>
        </row>
        <row r="21">
          <cell r="D21" t="str">
            <v>D</v>
          </cell>
        </row>
        <row r="22">
          <cell r="B22" t="str">
            <v>D1</v>
          </cell>
          <cell r="C22">
            <v>16</v>
          </cell>
          <cell r="D22" t="str">
            <v>USA</v>
          </cell>
        </row>
        <row r="23">
          <cell r="B23" t="str">
            <v>D2</v>
          </cell>
          <cell r="C23">
            <v>40</v>
          </cell>
          <cell r="D23" t="str">
            <v>Paraguay</v>
          </cell>
        </row>
        <row r="24">
          <cell r="B24" t="str">
            <v>D3</v>
          </cell>
          <cell r="C24">
            <v>27</v>
          </cell>
          <cell r="D24" t="str">
            <v>Australia</v>
          </cell>
        </row>
        <row r="25">
          <cell r="B25" t="str">
            <v>D4</v>
          </cell>
          <cell r="C25">
            <v>22</v>
          </cell>
          <cell r="D25" t="str">
            <v>Turkey</v>
          </cell>
        </row>
        <row r="26">
          <cell r="D26" t="str">
            <v>E</v>
          </cell>
        </row>
        <row r="27">
          <cell r="B27" t="str">
            <v>E1</v>
          </cell>
          <cell r="C27">
            <v>10</v>
          </cell>
          <cell r="D27" t="str">
            <v>Germany</v>
          </cell>
        </row>
        <row r="28">
          <cell r="B28" t="str">
            <v>E2</v>
          </cell>
          <cell r="C28">
            <v>82</v>
          </cell>
          <cell r="D28" t="str">
            <v>Curaçao</v>
          </cell>
        </row>
        <row r="29">
          <cell r="B29" t="str">
            <v>E3</v>
          </cell>
          <cell r="C29">
            <v>34</v>
          </cell>
          <cell r="D29" t="str">
            <v>Ivory Coast</v>
          </cell>
        </row>
        <row r="30">
          <cell r="B30" t="str">
            <v>E4</v>
          </cell>
          <cell r="C30">
            <v>23</v>
          </cell>
          <cell r="D30" t="str">
            <v>Ecuador</v>
          </cell>
        </row>
        <row r="31">
          <cell r="D31" t="str">
            <v>F</v>
          </cell>
        </row>
        <row r="32">
          <cell r="B32" t="str">
            <v>F1</v>
          </cell>
          <cell r="C32">
            <v>7</v>
          </cell>
          <cell r="D32" t="str">
            <v>Netherlands</v>
          </cell>
        </row>
        <row r="33">
          <cell r="B33" t="str">
            <v>F2</v>
          </cell>
          <cell r="C33">
            <v>18</v>
          </cell>
          <cell r="D33" t="str">
            <v>Japan</v>
          </cell>
        </row>
        <row r="34">
          <cell r="B34" t="str">
            <v>F3</v>
          </cell>
          <cell r="C34">
            <v>38</v>
          </cell>
          <cell r="D34" t="str">
            <v>Sweden</v>
          </cell>
        </row>
        <row r="35">
          <cell r="B35" t="str">
            <v>F4</v>
          </cell>
          <cell r="C35">
            <v>44</v>
          </cell>
          <cell r="D35" t="str">
            <v>Tunisia</v>
          </cell>
        </row>
        <row r="36">
          <cell r="D36" t="str">
            <v>G</v>
          </cell>
        </row>
        <row r="37">
          <cell r="B37" t="str">
            <v>G1</v>
          </cell>
          <cell r="C37">
            <v>9</v>
          </cell>
          <cell r="D37" t="str">
            <v>Belgium</v>
          </cell>
        </row>
        <row r="38">
          <cell r="B38" t="str">
            <v>G2</v>
          </cell>
          <cell r="C38">
            <v>29</v>
          </cell>
          <cell r="D38" t="str">
            <v>Egypt</v>
          </cell>
        </row>
        <row r="39">
          <cell r="B39" t="str">
            <v>G3</v>
          </cell>
          <cell r="C39">
            <v>21</v>
          </cell>
          <cell r="D39" t="str">
            <v>IR Iran</v>
          </cell>
        </row>
        <row r="40">
          <cell r="B40" t="str">
            <v>G4</v>
          </cell>
          <cell r="C40">
            <v>85</v>
          </cell>
          <cell r="D40" t="str">
            <v>New Zealand</v>
          </cell>
        </row>
        <row r="41">
          <cell r="D41" t="str">
            <v>H</v>
          </cell>
        </row>
        <row r="42">
          <cell r="B42" t="str">
            <v>H1</v>
          </cell>
          <cell r="C42">
            <v>2</v>
          </cell>
          <cell r="D42" t="str">
            <v>Spain</v>
          </cell>
        </row>
        <row r="43">
          <cell r="B43" t="str">
            <v>H2</v>
          </cell>
          <cell r="C43">
            <v>69</v>
          </cell>
          <cell r="D43" t="str">
            <v>Cape Verde</v>
          </cell>
        </row>
        <row r="44">
          <cell r="B44" t="str">
            <v>H3</v>
          </cell>
          <cell r="C44">
            <v>61</v>
          </cell>
          <cell r="D44" t="str">
            <v>Saudi Arabia</v>
          </cell>
        </row>
        <row r="45">
          <cell r="B45" t="str">
            <v>H4</v>
          </cell>
          <cell r="C45">
            <v>17</v>
          </cell>
          <cell r="D45" t="str">
            <v>Uruguay</v>
          </cell>
        </row>
        <row r="46">
          <cell r="D46" t="str">
            <v>I</v>
          </cell>
        </row>
        <row r="47">
          <cell r="B47" t="str">
            <v>I1</v>
          </cell>
          <cell r="C47">
            <v>1</v>
          </cell>
          <cell r="D47" t="str">
            <v>France</v>
          </cell>
        </row>
        <row r="48">
          <cell r="B48" t="str">
            <v>I2</v>
          </cell>
          <cell r="C48">
            <v>14</v>
          </cell>
          <cell r="D48" t="str">
            <v>Senegal</v>
          </cell>
        </row>
        <row r="49">
          <cell r="B49" t="str">
            <v>I3</v>
          </cell>
          <cell r="C49">
            <v>57</v>
          </cell>
          <cell r="D49" t="str">
            <v>Iraq</v>
          </cell>
        </row>
        <row r="50">
          <cell r="B50" t="str">
            <v>I4</v>
          </cell>
          <cell r="C50">
            <v>31</v>
          </cell>
          <cell r="D50" t="str">
            <v>Norway</v>
          </cell>
        </row>
        <row r="51">
          <cell r="D51" t="str">
            <v>J</v>
          </cell>
        </row>
        <row r="52">
          <cell r="B52" t="str">
            <v>J1</v>
          </cell>
          <cell r="C52">
            <v>3</v>
          </cell>
          <cell r="D52" t="str">
            <v>Argentina</v>
          </cell>
        </row>
        <row r="53">
          <cell r="B53" t="str">
            <v>J2</v>
          </cell>
          <cell r="C53">
            <v>28</v>
          </cell>
          <cell r="D53" t="str">
            <v>Algeria</v>
          </cell>
        </row>
        <row r="54">
          <cell r="B54" t="str">
            <v>J3</v>
          </cell>
          <cell r="C54">
            <v>24</v>
          </cell>
          <cell r="D54" t="str">
            <v>Austria</v>
          </cell>
        </row>
        <row r="55">
          <cell r="B55" t="str">
            <v>J4</v>
          </cell>
          <cell r="C55">
            <v>63</v>
          </cell>
          <cell r="D55" t="str">
            <v>Jordan</v>
          </cell>
        </row>
        <row r="56">
          <cell r="D56" t="str">
            <v>K</v>
          </cell>
        </row>
        <row r="57">
          <cell r="B57" t="str">
            <v>K1</v>
          </cell>
          <cell r="C57">
            <v>5</v>
          </cell>
          <cell r="D57" t="str">
            <v>Portugal</v>
          </cell>
        </row>
        <row r="58">
          <cell r="B58" t="str">
            <v>K2</v>
          </cell>
          <cell r="C58">
            <v>46</v>
          </cell>
          <cell r="D58" t="str">
            <v>DR Congo</v>
          </cell>
        </row>
        <row r="59">
          <cell r="B59" t="str">
            <v>K3</v>
          </cell>
          <cell r="C59">
            <v>50</v>
          </cell>
          <cell r="D59" t="str">
            <v>Uzbekistan</v>
          </cell>
        </row>
        <row r="60">
          <cell r="B60" t="str">
            <v>K4</v>
          </cell>
          <cell r="C60">
            <v>13</v>
          </cell>
          <cell r="D60" t="str">
            <v>Colombia</v>
          </cell>
        </row>
        <row r="61">
          <cell r="D61" t="str">
            <v>L</v>
          </cell>
        </row>
        <row r="62">
          <cell r="B62" t="str">
            <v>L1</v>
          </cell>
          <cell r="C62">
            <v>4</v>
          </cell>
          <cell r="D62" t="str">
            <v>England</v>
          </cell>
        </row>
        <row r="63">
          <cell r="B63" t="str">
            <v>L2</v>
          </cell>
          <cell r="C63">
            <v>11</v>
          </cell>
          <cell r="D63" t="str">
            <v>Croatia</v>
          </cell>
        </row>
        <row r="64">
          <cell r="B64" t="str">
            <v>L3</v>
          </cell>
          <cell r="C64">
            <v>74</v>
          </cell>
          <cell r="D64" t="str">
            <v>Ghana</v>
          </cell>
        </row>
        <row r="65">
          <cell r="B65" t="str">
            <v>L4</v>
          </cell>
          <cell r="C65">
            <v>33</v>
          </cell>
          <cell r="D65" t="str">
            <v>Panama</v>
          </cell>
        </row>
      </sheetData>
      <sheetData sheetId="12">
        <row r="4">
          <cell r="B4">
            <v>1</v>
          </cell>
          <cell r="C4" t="str">
            <v>A1</v>
          </cell>
          <cell r="D4" t="str">
            <v>A2</v>
          </cell>
          <cell r="E4">
            <v>46184.625</v>
          </cell>
          <cell r="F4">
            <v>46184.875</v>
          </cell>
          <cell r="G4">
            <v>14</v>
          </cell>
          <cell r="H4" t="str">
            <v>Mexico City</v>
          </cell>
          <cell r="I4" t="str">
            <v>Mexico</v>
          </cell>
          <cell r="J4" t="str">
            <v>South Africa</v>
          </cell>
        </row>
        <row r="5">
          <cell r="B5">
            <v>2</v>
          </cell>
          <cell r="C5" t="str">
            <v>A3</v>
          </cell>
          <cell r="D5" t="str">
            <v>A4</v>
          </cell>
          <cell r="E5">
            <v>46184.916666666664</v>
          </cell>
          <cell r="F5">
            <v>46185.166666666664</v>
          </cell>
          <cell r="G5">
            <v>15</v>
          </cell>
          <cell r="H5" t="str">
            <v>Guadalajara</v>
          </cell>
          <cell r="I5" t="str">
            <v>Rep. of Korea</v>
          </cell>
          <cell r="J5" t="str">
            <v>Czech Rep.</v>
          </cell>
        </row>
        <row r="6">
          <cell r="B6">
            <v>3</v>
          </cell>
          <cell r="C6" t="str">
            <v>B1</v>
          </cell>
          <cell r="D6" t="str">
            <v>B2</v>
          </cell>
          <cell r="E6">
            <v>46185.625</v>
          </cell>
          <cell r="F6">
            <v>46185.875</v>
          </cell>
          <cell r="G6">
            <v>2</v>
          </cell>
          <cell r="H6" t="str">
            <v>Toronto</v>
          </cell>
          <cell r="I6" t="str">
            <v>Canada</v>
          </cell>
          <cell r="J6" t="str">
            <v>Bosnia/Herzeg.</v>
          </cell>
        </row>
        <row r="7">
          <cell r="B7">
            <v>4</v>
          </cell>
          <cell r="C7" t="str">
            <v>D1</v>
          </cell>
          <cell r="D7" t="str">
            <v>D2</v>
          </cell>
          <cell r="E7">
            <v>46185.875</v>
          </cell>
          <cell r="F7">
            <v>46186.125</v>
          </cell>
          <cell r="G7">
            <v>8</v>
          </cell>
          <cell r="H7" t="str">
            <v>Los Angeles</v>
          </cell>
          <cell r="I7" t="str">
            <v>USA</v>
          </cell>
          <cell r="J7" t="str">
            <v>Paraguay</v>
          </cell>
        </row>
        <row r="8">
          <cell r="B8">
            <v>5</v>
          </cell>
          <cell r="C8" t="str">
            <v>C3</v>
          </cell>
          <cell r="D8" t="str">
            <v>C4</v>
          </cell>
          <cell r="E8">
            <v>46186.875</v>
          </cell>
          <cell r="F8">
            <v>46187.125</v>
          </cell>
          <cell r="G8">
            <v>12</v>
          </cell>
          <cell r="H8" t="str">
            <v>Boston</v>
          </cell>
          <cell r="I8" t="str">
            <v>Haiti</v>
          </cell>
          <cell r="J8" t="str">
            <v>Scotland</v>
          </cell>
        </row>
        <row r="9">
          <cell r="B9">
            <v>6</v>
          </cell>
          <cell r="C9" t="str">
            <v>D3</v>
          </cell>
          <cell r="D9" t="str">
            <v>D4</v>
          </cell>
          <cell r="E9">
            <v>46187</v>
          </cell>
          <cell r="F9">
            <v>46187.25</v>
          </cell>
          <cell r="G9">
            <v>1</v>
          </cell>
          <cell r="H9" t="str">
            <v>Vancouver</v>
          </cell>
          <cell r="I9" t="str">
            <v>Australia</v>
          </cell>
          <cell r="J9" t="str">
            <v>Turkey</v>
          </cell>
        </row>
        <row r="10">
          <cell r="B10">
            <v>7</v>
          </cell>
          <cell r="C10" t="str">
            <v>C1</v>
          </cell>
          <cell r="D10" t="str">
            <v>C2</v>
          </cell>
          <cell r="E10">
            <v>46186.75</v>
          </cell>
          <cell r="F10">
            <v>46187</v>
          </cell>
          <cell r="G10">
            <v>3</v>
          </cell>
          <cell r="H10" t="str">
            <v>New York/New Jersey</v>
          </cell>
          <cell r="I10" t="str">
            <v>Brazil</v>
          </cell>
          <cell r="J10" t="str">
            <v>Morocco</v>
          </cell>
        </row>
        <row r="11">
          <cell r="B11">
            <v>8</v>
          </cell>
          <cell r="C11" t="str">
            <v>B3</v>
          </cell>
          <cell r="D11" t="str">
            <v>B4</v>
          </cell>
          <cell r="E11">
            <v>46186.625</v>
          </cell>
          <cell r="F11">
            <v>46186.875</v>
          </cell>
          <cell r="G11">
            <v>11</v>
          </cell>
          <cell r="H11" t="str">
            <v>San Francisco Bay Area</v>
          </cell>
          <cell r="I11" t="str">
            <v>Qatar</v>
          </cell>
          <cell r="J11" t="str">
            <v>Switzerland</v>
          </cell>
        </row>
        <row r="12">
          <cell r="B12">
            <v>9</v>
          </cell>
          <cell r="C12" t="str">
            <v>E3</v>
          </cell>
          <cell r="D12" t="str">
            <v>E4</v>
          </cell>
          <cell r="E12">
            <v>46187.791666666664</v>
          </cell>
          <cell r="F12">
            <v>46188.041666666664</v>
          </cell>
          <cell r="G12">
            <v>9</v>
          </cell>
          <cell r="H12" t="str">
            <v>Philadelphia</v>
          </cell>
          <cell r="I12" t="str">
            <v>Ivory Coast</v>
          </cell>
          <cell r="J12" t="str">
            <v>Ecuador</v>
          </cell>
        </row>
        <row r="13">
          <cell r="B13">
            <v>10</v>
          </cell>
          <cell r="C13" t="str">
            <v>E1</v>
          </cell>
          <cell r="D13" t="str">
            <v>E2</v>
          </cell>
          <cell r="E13">
            <v>46187.541666666664</v>
          </cell>
          <cell r="F13">
            <v>46187.791666666664</v>
          </cell>
          <cell r="G13">
            <v>6</v>
          </cell>
          <cell r="H13" t="str">
            <v>Houston</v>
          </cell>
          <cell r="I13" t="str">
            <v>Germany</v>
          </cell>
          <cell r="J13" t="str">
            <v>Curaçao</v>
          </cell>
        </row>
        <row r="14">
          <cell r="B14">
            <v>11</v>
          </cell>
          <cell r="C14" t="str">
            <v>F1</v>
          </cell>
          <cell r="D14" t="str">
            <v>F2</v>
          </cell>
          <cell r="E14">
            <v>46187.666666666664</v>
          </cell>
          <cell r="F14">
            <v>46187.916666666664</v>
          </cell>
          <cell r="G14">
            <v>5</v>
          </cell>
          <cell r="H14" t="str">
            <v>Dallas</v>
          </cell>
          <cell r="I14" t="str">
            <v>Netherlands</v>
          </cell>
          <cell r="J14" t="str">
            <v>Japan</v>
          </cell>
        </row>
        <row r="15">
          <cell r="B15">
            <v>12</v>
          </cell>
          <cell r="C15" t="str">
            <v>F3</v>
          </cell>
          <cell r="D15" t="str">
            <v>F4</v>
          </cell>
          <cell r="E15">
            <v>46187.916666666664</v>
          </cell>
          <cell r="F15">
            <v>46188.166666666664</v>
          </cell>
          <cell r="G15">
            <v>16</v>
          </cell>
          <cell r="H15" t="str">
            <v>Monterrey</v>
          </cell>
          <cell r="I15" t="str">
            <v>Sweden</v>
          </cell>
          <cell r="J15" t="str">
            <v>Tunisia</v>
          </cell>
        </row>
        <row r="16">
          <cell r="B16">
            <v>13</v>
          </cell>
          <cell r="C16" t="str">
            <v>H3</v>
          </cell>
          <cell r="D16" t="str">
            <v>H4</v>
          </cell>
          <cell r="E16">
            <v>46188.75</v>
          </cell>
          <cell r="F16">
            <v>46189</v>
          </cell>
          <cell r="G16">
            <v>13</v>
          </cell>
          <cell r="H16" t="str">
            <v>Miami</v>
          </cell>
          <cell r="I16" t="str">
            <v>Saudi Arabia</v>
          </cell>
          <cell r="J16" t="str">
            <v>Uruguay</v>
          </cell>
        </row>
        <row r="17">
          <cell r="B17">
            <v>14</v>
          </cell>
          <cell r="C17" t="str">
            <v>H1</v>
          </cell>
          <cell r="D17" t="str">
            <v>H2</v>
          </cell>
          <cell r="E17">
            <v>46188.5</v>
          </cell>
          <cell r="F17">
            <v>46188.75</v>
          </cell>
          <cell r="G17">
            <v>7</v>
          </cell>
          <cell r="H17" t="str">
            <v>Atlanta</v>
          </cell>
          <cell r="I17" t="str">
            <v>Spain</v>
          </cell>
          <cell r="J17" t="str">
            <v>Cape Verde</v>
          </cell>
        </row>
        <row r="18">
          <cell r="B18">
            <v>15</v>
          </cell>
          <cell r="C18" t="str">
            <v>G3</v>
          </cell>
          <cell r="D18" t="str">
            <v>G4</v>
          </cell>
          <cell r="E18">
            <v>46188.875</v>
          </cell>
          <cell r="F18">
            <v>46189.125</v>
          </cell>
          <cell r="G18">
            <v>8</v>
          </cell>
          <cell r="H18" t="str">
            <v>Los Angeles</v>
          </cell>
          <cell r="I18" t="str">
            <v>IR Iran</v>
          </cell>
          <cell r="J18" t="str">
            <v>New Zealand</v>
          </cell>
        </row>
        <row r="19">
          <cell r="B19">
            <v>16</v>
          </cell>
          <cell r="C19" t="str">
            <v>G1</v>
          </cell>
          <cell r="D19" t="str">
            <v>G2</v>
          </cell>
          <cell r="E19">
            <v>46188.625</v>
          </cell>
          <cell r="F19">
            <v>46188.875</v>
          </cell>
          <cell r="G19">
            <v>10</v>
          </cell>
          <cell r="H19" t="str">
            <v>Seattle</v>
          </cell>
          <cell r="I19" t="str">
            <v>Belgium</v>
          </cell>
          <cell r="J19" t="str">
            <v>Egypt</v>
          </cell>
        </row>
        <row r="20">
          <cell r="B20">
            <v>17</v>
          </cell>
          <cell r="C20" t="str">
            <v>I1</v>
          </cell>
          <cell r="D20" t="str">
            <v>I2</v>
          </cell>
          <cell r="E20">
            <v>46189.625</v>
          </cell>
          <cell r="F20">
            <v>46189.875</v>
          </cell>
          <cell r="G20">
            <v>3</v>
          </cell>
          <cell r="H20" t="str">
            <v>New York/New Jersey</v>
          </cell>
          <cell r="I20" t="str">
            <v>France</v>
          </cell>
          <cell r="J20" t="str">
            <v>Senegal</v>
          </cell>
        </row>
        <row r="21">
          <cell r="B21">
            <v>18</v>
          </cell>
          <cell r="C21" t="str">
            <v>I3</v>
          </cell>
          <cell r="D21" t="str">
            <v>I4</v>
          </cell>
          <cell r="E21">
            <v>46189.75</v>
          </cell>
          <cell r="F21">
            <v>46190</v>
          </cell>
          <cell r="G21">
            <v>12</v>
          </cell>
          <cell r="H21" t="str">
            <v>Boston</v>
          </cell>
          <cell r="I21" t="str">
            <v>Iraq</v>
          </cell>
          <cell r="J21" t="str">
            <v>Norway</v>
          </cell>
        </row>
        <row r="22">
          <cell r="B22">
            <v>19</v>
          </cell>
          <cell r="C22" t="str">
            <v>J1</v>
          </cell>
          <cell r="D22" t="str">
            <v>J2</v>
          </cell>
          <cell r="E22">
            <v>46189.875</v>
          </cell>
          <cell r="F22">
            <v>46190.125</v>
          </cell>
          <cell r="G22">
            <v>4</v>
          </cell>
          <cell r="H22" t="str">
            <v>Kansas City</v>
          </cell>
          <cell r="I22" t="str">
            <v>Argentina</v>
          </cell>
          <cell r="J22" t="str">
            <v>Algeria</v>
          </cell>
        </row>
        <row r="23">
          <cell r="B23">
            <v>20</v>
          </cell>
          <cell r="C23" t="str">
            <v>J3</v>
          </cell>
          <cell r="D23" t="str">
            <v>J4</v>
          </cell>
          <cell r="E23">
            <v>46190</v>
          </cell>
          <cell r="F23">
            <v>46190.25</v>
          </cell>
          <cell r="G23">
            <v>11</v>
          </cell>
          <cell r="H23" t="str">
            <v>San Francisco Bay Area</v>
          </cell>
          <cell r="I23" t="str">
            <v>Austria</v>
          </cell>
          <cell r="J23" t="str">
            <v>Jordan</v>
          </cell>
        </row>
        <row r="24">
          <cell r="B24">
            <v>21</v>
          </cell>
          <cell r="C24" t="str">
            <v>L3</v>
          </cell>
          <cell r="D24" t="str">
            <v>L4</v>
          </cell>
          <cell r="E24">
            <v>46190.791666666664</v>
          </cell>
          <cell r="F24">
            <v>46191.041666666664</v>
          </cell>
          <cell r="G24">
            <v>2</v>
          </cell>
          <cell r="H24" t="str">
            <v>Toronto</v>
          </cell>
          <cell r="I24" t="str">
            <v>Ghana</v>
          </cell>
          <cell r="J24" t="str">
            <v>Panama</v>
          </cell>
        </row>
        <row r="25">
          <cell r="B25">
            <v>22</v>
          </cell>
          <cell r="C25" t="str">
            <v>L1</v>
          </cell>
          <cell r="D25" t="str">
            <v>L2</v>
          </cell>
          <cell r="E25">
            <v>46190.666666666664</v>
          </cell>
          <cell r="F25">
            <v>46190.916666666664</v>
          </cell>
          <cell r="G25">
            <v>5</v>
          </cell>
          <cell r="H25" t="str">
            <v>Dallas</v>
          </cell>
          <cell r="I25" t="str">
            <v>England</v>
          </cell>
          <cell r="J25" t="str">
            <v>Croatia</v>
          </cell>
        </row>
        <row r="26">
          <cell r="B26">
            <v>23</v>
          </cell>
          <cell r="C26" t="str">
            <v>K1</v>
          </cell>
          <cell r="D26" t="str">
            <v>K2</v>
          </cell>
          <cell r="E26">
            <v>46190.541666666664</v>
          </cell>
          <cell r="F26">
            <v>46190.791666666664</v>
          </cell>
          <cell r="G26">
            <v>6</v>
          </cell>
          <cell r="H26" t="str">
            <v>Houston</v>
          </cell>
          <cell r="I26" t="str">
            <v>Portugal</v>
          </cell>
          <cell r="J26" t="str">
            <v>DR Congo</v>
          </cell>
        </row>
        <row r="27">
          <cell r="B27">
            <v>24</v>
          </cell>
          <cell r="C27" t="str">
            <v>K3</v>
          </cell>
          <cell r="D27" t="str">
            <v>K4</v>
          </cell>
          <cell r="E27">
            <v>46190.916666666664</v>
          </cell>
          <cell r="F27">
            <v>46191.166666666664</v>
          </cell>
          <cell r="G27">
            <v>14</v>
          </cell>
          <cell r="H27" t="str">
            <v>Mexico City</v>
          </cell>
          <cell r="I27" t="str">
            <v>Uzbekistan</v>
          </cell>
          <cell r="J27" t="str">
            <v>Colombia</v>
          </cell>
        </row>
        <row r="28">
          <cell r="B28">
            <v>25</v>
          </cell>
          <cell r="C28" t="str">
            <v>A4</v>
          </cell>
          <cell r="D28" t="str">
            <v>A2</v>
          </cell>
          <cell r="E28">
            <v>46191.5</v>
          </cell>
          <cell r="F28">
            <v>46191.75</v>
          </cell>
          <cell r="G28">
            <v>7</v>
          </cell>
          <cell r="H28" t="str">
            <v>Atlanta</v>
          </cell>
          <cell r="I28" t="str">
            <v>Czech Rep.</v>
          </cell>
          <cell r="J28" t="str">
            <v>South Africa</v>
          </cell>
        </row>
        <row r="29">
          <cell r="B29">
            <v>26</v>
          </cell>
          <cell r="C29" t="str">
            <v>B4</v>
          </cell>
          <cell r="D29" t="str">
            <v>B2</v>
          </cell>
          <cell r="E29">
            <v>46191.625</v>
          </cell>
          <cell r="F29">
            <v>46191.875</v>
          </cell>
          <cell r="G29">
            <v>8</v>
          </cell>
          <cell r="H29" t="str">
            <v>Los Angeles</v>
          </cell>
          <cell r="I29" t="str">
            <v>Switzerland</v>
          </cell>
          <cell r="J29" t="str">
            <v>Bosnia/Herzeg.</v>
          </cell>
        </row>
        <row r="30">
          <cell r="B30">
            <v>27</v>
          </cell>
          <cell r="C30" t="str">
            <v>B1</v>
          </cell>
          <cell r="D30" t="str">
            <v>B3</v>
          </cell>
          <cell r="E30">
            <v>46191.75</v>
          </cell>
          <cell r="F30">
            <v>46192</v>
          </cell>
          <cell r="G30">
            <v>1</v>
          </cell>
          <cell r="H30" t="str">
            <v>Vancouver</v>
          </cell>
          <cell r="I30" t="str">
            <v>Canada</v>
          </cell>
          <cell r="J30" t="str">
            <v>Qatar</v>
          </cell>
        </row>
        <row r="31">
          <cell r="B31">
            <v>28</v>
          </cell>
          <cell r="C31" t="str">
            <v>A1</v>
          </cell>
          <cell r="D31" t="str">
            <v>A3</v>
          </cell>
          <cell r="E31">
            <v>46191.875</v>
          </cell>
          <cell r="F31">
            <v>46192.125</v>
          </cell>
          <cell r="G31">
            <v>15</v>
          </cell>
          <cell r="H31" t="str">
            <v>Guadalajara</v>
          </cell>
          <cell r="I31" t="str">
            <v>Mexico</v>
          </cell>
          <cell r="J31" t="str">
            <v>Rep. of Korea</v>
          </cell>
        </row>
        <row r="32">
          <cell r="B32">
            <v>29</v>
          </cell>
          <cell r="C32" t="str">
            <v>C1</v>
          </cell>
          <cell r="D32" t="str">
            <v>C3</v>
          </cell>
          <cell r="E32">
            <v>46192.854166666664</v>
          </cell>
          <cell r="F32">
            <v>46193.104166666664</v>
          </cell>
          <cell r="G32">
            <v>9</v>
          </cell>
          <cell r="H32" t="str">
            <v>Philadelphia</v>
          </cell>
          <cell r="I32" t="str">
            <v>Brazil</v>
          </cell>
          <cell r="J32" t="str">
            <v>Haiti</v>
          </cell>
        </row>
        <row r="33">
          <cell r="B33">
            <v>30</v>
          </cell>
          <cell r="C33" t="str">
            <v>C4</v>
          </cell>
          <cell r="D33" t="str">
            <v>C2</v>
          </cell>
          <cell r="E33">
            <v>46192.75</v>
          </cell>
          <cell r="F33">
            <v>46193</v>
          </cell>
          <cell r="G33">
            <v>12</v>
          </cell>
          <cell r="H33" t="str">
            <v>Boston</v>
          </cell>
          <cell r="I33" t="str">
            <v>Scotland</v>
          </cell>
          <cell r="J33" t="str">
            <v>Morocco</v>
          </cell>
        </row>
        <row r="34">
          <cell r="B34">
            <v>31</v>
          </cell>
          <cell r="C34" t="str">
            <v>D4</v>
          </cell>
          <cell r="D34" t="str">
            <v>D2</v>
          </cell>
          <cell r="E34">
            <v>46192.958333333336</v>
          </cell>
          <cell r="F34">
            <v>46193.208333333336</v>
          </cell>
          <cell r="G34">
            <v>11</v>
          </cell>
          <cell r="H34" t="str">
            <v>San Francisco Bay Area</v>
          </cell>
          <cell r="I34" t="str">
            <v>Turkey</v>
          </cell>
          <cell r="J34" t="str">
            <v>Paraguay</v>
          </cell>
        </row>
        <row r="35">
          <cell r="B35">
            <v>32</v>
          </cell>
          <cell r="C35" t="str">
            <v>D1</v>
          </cell>
          <cell r="D35" t="str">
            <v>D3</v>
          </cell>
          <cell r="E35">
            <v>46192.625</v>
          </cell>
          <cell r="F35">
            <v>46192.875</v>
          </cell>
          <cell r="G35">
            <v>10</v>
          </cell>
          <cell r="H35" t="str">
            <v>Seattle</v>
          </cell>
          <cell r="I35" t="str">
            <v>USA</v>
          </cell>
          <cell r="J35" t="str">
            <v>Australia</v>
          </cell>
        </row>
        <row r="36">
          <cell r="B36">
            <v>33</v>
          </cell>
          <cell r="C36" t="str">
            <v>E1</v>
          </cell>
          <cell r="D36" t="str">
            <v>E3</v>
          </cell>
          <cell r="E36">
            <v>46193.666666666664</v>
          </cell>
          <cell r="F36">
            <v>46193.916666666664</v>
          </cell>
          <cell r="G36">
            <v>2</v>
          </cell>
          <cell r="H36" t="str">
            <v>Toronto</v>
          </cell>
          <cell r="I36" t="str">
            <v>Germany</v>
          </cell>
          <cell r="J36" t="str">
            <v>Ivory Coast</v>
          </cell>
        </row>
        <row r="37">
          <cell r="B37">
            <v>34</v>
          </cell>
          <cell r="C37" t="str">
            <v>E4</v>
          </cell>
          <cell r="D37" t="str">
            <v>E2</v>
          </cell>
          <cell r="E37">
            <v>46193.833333333336</v>
          </cell>
          <cell r="F37">
            <v>46194.083333333336</v>
          </cell>
          <cell r="G37">
            <v>4</v>
          </cell>
          <cell r="H37" t="str">
            <v>Kansas City</v>
          </cell>
          <cell r="I37" t="str">
            <v>Ecuador</v>
          </cell>
          <cell r="J37" t="str">
            <v>Curaçao</v>
          </cell>
        </row>
        <row r="38">
          <cell r="B38">
            <v>35</v>
          </cell>
          <cell r="C38" t="str">
            <v>F1</v>
          </cell>
          <cell r="D38" t="str">
            <v>F3</v>
          </cell>
          <cell r="E38">
            <v>46193.541666666664</v>
          </cell>
          <cell r="F38">
            <v>46193.791666666664</v>
          </cell>
          <cell r="G38">
            <v>6</v>
          </cell>
          <cell r="H38" t="str">
            <v>Houston</v>
          </cell>
          <cell r="I38" t="str">
            <v>Netherlands</v>
          </cell>
          <cell r="J38" t="str">
            <v>Sweden</v>
          </cell>
        </row>
        <row r="39">
          <cell r="B39">
            <v>36</v>
          </cell>
          <cell r="C39" t="str">
            <v>F4</v>
          </cell>
          <cell r="D39" t="str">
            <v>F2</v>
          </cell>
          <cell r="E39">
            <v>46194</v>
          </cell>
          <cell r="F39">
            <v>46194.25</v>
          </cell>
          <cell r="G39">
            <v>16</v>
          </cell>
          <cell r="H39" t="str">
            <v>Monterrey</v>
          </cell>
          <cell r="I39" t="str">
            <v>Tunisia</v>
          </cell>
          <cell r="J39" t="str">
            <v>Japan</v>
          </cell>
        </row>
        <row r="40">
          <cell r="B40">
            <v>37</v>
          </cell>
          <cell r="C40" t="str">
            <v>H4</v>
          </cell>
          <cell r="D40" t="str">
            <v>H2</v>
          </cell>
          <cell r="E40">
            <v>46194.75</v>
          </cell>
          <cell r="F40">
            <v>46195</v>
          </cell>
          <cell r="G40">
            <v>13</v>
          </cell>
          <cell r="H40" t="str">
            <v>Miami</v>
          </cell>
          <cell r="I40" t="str">
            <v>Uruguay</v>
          </cell>
          <cell r="J40" t="str">
            <v>Cape Verde</v>
          </cell>
        </row>
        <row r="41">
          <cell r="B41">
            <v>38</v>
          </cell>
          <cell r="C41" t="str">
            <v>H1</v>
          </cell>
          <cell r="D41" t="str">
            <v>H3</v>
          </cell>
          <cell r="E41">
            <v>46194.5</v>
          </cell>
          <cell r="F41">
            <v>46194.75</v>
          </cell>
          <cell r="G41">
            <v>7</v>
          </cell>
          <cell r="H41" t="str">
            <v>Atlanta</v>
          </cell>
          <cell r="I41" t="str">
            <v>Spain</v>
          </cell>
          <cell r="J41" t="str">
            <v>Saudi Arabia</v>
          </cell>
        </row>
        <row r="42">
          <cell r="B42">
            <v>39</v>
          </cell>
          <cell r="C42" t="str">
            <v>G1</v>
          </cell>
          <cell r="D42" t="str">
            <v>G3</v>
          </cell>
          <cell r="E42">
            <v>46194.625</v>
          </cell>
          <cell r="F42">
            <v>46194.875</v>
          </cell>
          <cell r="G42">
            <v>8</v>
          </cell>
          <cell r="H42" t="str">
            <v>Los Angeles</v>
          </cell>
          <cell r="I42" t="str">
            <v>Belgium</v>
          </cell>
          <cell r="J42" t="str">
            <v>IR Iran</v>
          </cell>
        </row>
        <row r="43">
          <cell r="B43">
            <v>40</v>
          </cell>
          <cell r="C43" t="str">
            <v>G4</v>
          </cell>
          <cell r="D43" t="str">
            <v>G2</v>
          </cell>
          <cell r="E43">
            <v>46194.875</v>
          </cell>
          <cell r="F43">
            <v>46195.125</v>
          </cell>
          <cell r="G43">
            <v>1</v>
          </cell>
          <cell r="H43" t="str">
            <v>Vancouver</v>
          </cell>
          <cell r="I43" t="str">
            <v>New Zealand</v>
          </cell>
          <cell r="J43" t="str">
            <v>Egypt</v>
          </cell>
        </row>
        <row r="44">
          <cell r="B44">
            <v>41</v>
          </cell>
          <cell r="C44" t="str">
            <v>I4</v>
          </cell>
          <cell r="D44" t="str">
            <v>I2</v>
          </cell>
          <cell r="E44">
            <v>46195.833333333336</v>
          </cell>
          <cell r="F44">
            <v>46196.083333333336</v>
          </cell>
          <cell r="G44">
            <v>3</v>
          </cell>
          <cell r="H44" t="str">
            <v>New York/New Jersey</v>
          </cell>
          <cell r="I44" t="str">
            <v>Norway</v>
          </cell>
          <cell r="J44" t="str">
            <v>Senegal</v>
          </cell>
        </row>
        <row r="45">
          <cell r="B45">
            <v>42</v>
          </cell>
          <cell r="C45" t="str">
            <v>I1</v>
          </cell>
          <cell r="D45" t="str">
            <v>I3</v>
          </cell>
          <cell r="E45">
            <v>46195.708333333336</v>
          </cell>
          <cell r="F45">
            <v>46195.958333333336</v>
          </cell>
          <cell r="G45">
            <v>9</v>
          </cell>
          <cell r="H45" t="str">
            <v>Philadelphia</v>
          </cell>
          <cell r="I45" t="str">
            <v>France</v>
          </cell>
          <cell r="J45" t="str">
            <v>Iraq</v>
          </cell>
        </row>
        <row r="46">
          <cell r="B46">
            <v>43</v>
          </cell>
          <cell r="C46" t="str">
            <v>J1</v>
          </cell>
          <cell r="D46" t="str">
            <v>J3</v>
          </cell>
          <cell r="E46">
            <v>46195.541666666664</v>
          </cell>
          <cell r="F46">
            <v>46195.791666666664</v>
          </cell>
          <cell r="G46">
            <v>5</v>
          </cell>
          <cell r="H46" t="str">
            <v>Dallas</v>
          </cell>
          <cell r="I46" t="str">
            <v>Argentina</v>
          </cell>
          <cell r="J46" t="str">
            <v>Austria</v>
          </cell>
        </row>
        <row r="47">
          <cell r="B47">
            <v>44</v>
          </cell>
          <cell r="C47" t="str">
            <v>J4</v>
          </cell>
          <cell r="D47" t="str">
            <v>J2</v>
          </cell>
          <cell r="E47">
            <v>46195.958333333336</v>
          </cell>
          <cell r="F47">
            <v>46196.208333333336</v>
          </cell>
          <cell r="G47">
            <v>11</v>
          </cell>
          <cell r="H47" t="str">
            <v>San Francisco Bay Area</v>
          </cell>
          <cell r="I47" t="str">
            <v>Jordan</v>
          </cell>
          <cell r="J47" t="str">
            <v>Algeria</v>
          </cell>
        </row>
        <row r="48">
          <cell r="B48">
            <v>45</v>
          </cell>
          <cell r="C48" t="str">
            <v>L1</v>
          </cell>
          <cell r="D48" t="str">
            <v>L3</v>
          </cell>
          <cell r="E48">
            <v>46196.666666666664</v>
          </cell>
          <cell r="F48">
            <v>46196.916666666664</v>
          </cell>
          <cell r="G48">
            <v>12</v>
          </cell>
          <cell r="H48" t="str">
            <v>Boston</v>
          </cell>
          <cell r="I48" t="str">
            <v>England</v>
          </cell>
          <cell r="J48" t="str">
            <v>Ghana</v>
          </cell>
        </row>
        <row r="49">
          <cell r="B49">
            <v>46</v>
          </cell>
          <cell r="C49" t="str">
            <v>L4</v>
          </cell>
          <cell r="D49" t="str">
            <v>L2</v>
          </cell>
          <cell r="E49">
            <v>46196.791666666664</v>
          </cell>
          <cell r="F49">
            <v>46197.041666666664</v>
          </cell>
          <cell r="G49">
            <v>2</v>
          </cell>
          <cell r="H49" t="str">
            <v>Toronto</v>
          </cell>
          <cell r="I49" t="str">
            <v>Panama</v>
          </cell>
          <cell r="J49" t="str">
            <v>Croatia</v>
          </cell>
        </row>
        <row r="50">
          <cell r="B50">
            <v>47</v>
          </cell>
          <cell r="C50" t="str">
            <v>K1</v>
          </cell>
          <cell r="D50" t="str">
            <v>K3</v>
          </cell>
          <cell r="E50">
            <v>46196.541666666664</v>
          </cell>
          <cell r="F50">
            <v>46196.791666666664</v>
          </cell>
          <cell r="G50">
            <v>6</v>
          </cell>
          <cell r="H50" t="str">
            <v>Houston</v>
          </cell>
          <cell r="I50" t="str">
            <v>Portugal</v>
          </cell>
          <cell r="J50" t="str">
            <v>Uzbekistan</v>
          </cell>
        </row>
        <row r="51">
          <cell r="B51">
            <v>48</v>
          </cell>
          <cell r="C51" t="str">
            <v>K4</v>
          </cell>
          <cell r="D51" t="str">
            <v>K2</v>
          </cell>
          <cell r="E51">
            <v>46196.916666666664</v>
          </cell>
          <cell r="F51">
            <v>46197.166666666664</v>
          </cell>
          <cell r="G51">
            <v>15</v>
          </cell>
          <cell r="H51" t="str">
            <v>Guadalajara</v>
          </cell>
          <cell r="I51" t="str">
            <v>Colombia</v>
          </cell>
          <cell r="J51" t="str">
            <v>DR Congo</v>
          </cell>
        </row>
        <row r="52">
          <cell r="B52">
            <v>49</v>
          </cell>
          <cell r="C52" t="str">
            <v>C4</v>
          </cell>
          <cell r="D52" t="str">
            <v>C1</v>
          </cell>
          <cell r="E52">
            <v>46197.75</v>
          </cell>
          <cell r="F52">
            <v>46198</v>
          </cell>
          <cell r="G52">
            <v>13</v>
          </cell>
          <cell r="H52" t="str">
            <v>Miami</v>
          </cell>
          <cell r="I52" t="str">
            <v>Scotland</v>
          </cell>
          <cell r="J52" t="str">
            <v>Brazil</v>
          </cell>
        </row>
        <row r="53">
          <cell r="B53">
            <v>50</v>
          </cell>
          <cell r="C53" t="str">
            <v>C2</v>
          </cell>
          <cell r="D53" t="str">
            <v>C3</v>
          </cell>
          <cell r="E53">
            <v>46197.75</v>
          </cell>
          <cell r="F53">
            <v>46198</v>
          </cell>
          <cell r="G53">
            <v>7</v>
          </cell>
          <cell r="H53" t="str">
            <v>Atlanta</v>
          </cell>
          <cell r="I53" t="str">
            <v>Morocco</v>
          </cell>
          <cell r="J53" t="str">
            <v>Haiti</v>
          </cell>
        </row>
        <row r="54">
          <cell r="B54">
            <v>51</v>
          </cell>
          <cell r="C54" t="str">
            <v>B4</v>
          </cell>
          <cell r="D54" t="str">
            <v>B1</v>
          </cell>
          <cell r="E54">
            <v>46197.625</v>
          </cell>
          <cell r="F54">
            <v>46197.875</v>
          </cell>
          <cell r="G54">
            <v>1</v>
          </cell>
          <cell r="H54" t="str">
            <v>Vancouver</v>
          </cell>
          <cell r="I54" t="str">
            <v>Switzerland</v>
          </cell>
          <cell r="J54" t="str">
            <v>Canada</v>
          </cell>
        </row>
        <row r="55">
          <cell r="B55">
            <v>52</v>
          </cell>
          <cell r="C55" t="str">
            <v>B2</v>
          </cell>
          <cell r="D55" t="str">
            <v>B3</v>
          </cell>
          <cell r="E55">
            <v>46197.625</v>
          </cell>
          <cell r="F55">
            <v>46197.875</v>
          </cell>
          <cell r="G55">
            <v>10</v>
          </cell>
          <cell r="H55" t="str">
            <v>Seattle</v>
          </cell>
          <cell r="I55" t="str">
            <v>Bosnia/Herzeg.</v>
          </cell>
          <cell r="J55" t="str">
            <v>Qatar</v>
          </cell>
        </row>
        <row r="56">
          <cell r="B56">
            <v>53</v>
          </cell>
          <cell r="C56" t="str">
            <v>A4</v>
          </cell>
          <cell r="D56" t="str">
            <v>A1</v>
          </cell>
          <cell r="E56">
            <v>46197.875</v>
          </cell>
          <cell r="F56">
            <v>46198.125</v>
          </cell>
          <cell r="G56">
            <v>14</v>
          </cell>
          <cell r="H56" t="str">
            <v>Mexico City</v>
          </cell>
          <cell r="I56" t="str">
            <v>Czech Rep.</v>
          </cell>
          <cell r="J56" t="str">
            <v>Mexico</v>
          </cell>
        </row>
        <row r="57">
          <cell r="B57">
            <v>54</v>
          </cell>
          <cell r="C57" t="str">
            <v>A2</v>
          </cell>
          <cell r="D57" t="str">
            <v>A3</v>
          </cell>
          <cell r="E57">
            <v>46197.875</v>
          </cell>
          <cell r="F57">
            <v>46198.125</v>
          </cell>
          <cell r="G57">
            <v>16</v>
          </cell>
          <cell r="H57" t="str">
            <v>Monterrey</v>
          </cell>
          <cell r="I57" t="str">
            <v>South Africa</v>
          </cell>
          <cell r="J57" t="str">
            <v>Rep. of Korea</v>
          </cell>
        </row>
        <row r="58">
          <cell r="B58">
            <v>55</v>
          </cell>
          <cell r="C58" t="str">
            <v>E2</v>
          </cell>
          <cell r="D58" t="str">
            <v>E3</v>
          </cell>
          <cell r="E58">
            <v>46198.666666666664</v>
          </cell>
          <cell r="F58">
            <v>46198.916666666664</v>
          </cell>
          <cell r="G58">
            <v>9</v>
          </cell>
          <cell r="H58" t="str">
            <v>Philadelphia</v>
          </cell>
          <cell r="I58" t="str">
            <v>Curaçao</v>
          </cell>
          <cell r="J58" t="str">
            <v>Ivory Coast</v>
          </cell>
        </row>
        <row r="59">
          <cell r="B59">
            <v>56</v>
          </cell>
          <cell r="C59" t="str">
            <v>E4</v>
          </cell>
          <cell r="D59" t="str">
            <v>E1</v>
          </cell>
          <cell r="E59">
            <v>46198.666666666664</v>
          </cell>
          <cell r="F59">
            <v>46198.916666666664</v>
          </cell>
          <cell r="G59">
            <v>3</v>
          </cell>
          <cell r="H59" t="str">
            <v>New York/New Jersey</v>
          </cell>
          <cell r="I59" t="str">
            <v>Ecuador</v>
          </cell>
          <cell r="J59" t="str">
            <v>Germany</v>
          </cell>
        </row>
        <row r="60">
          <cell r="B60">
            <v>57</v>
          </cell>
          <cell r="C60" t="str">
            <v>F2</v>
          </cell>
          <cell r="D60" t="str">
            <v>F3</v>
          </cell>
          <cell r="E60">
            <v>46198.791666666664</v>
          </cell>
          <cell r="F60">
            <v>46199.041666666664</v>
          </cell>
          <cell r="G60">
            <v>5</v>
          </cell>
          <cell r="H60" t="str">
            <v>Dallas</v>
          </cell>
          <cell r="I60" t="str">
            <v>Japan</v>
          </cell>
          <cell r="J60" t="str">
            <v>Sweden</v>
          </cell>
        </row>
        <row r="61">
          <cell r="B61">
            <v>58</v>
          </cell>
          <cell r="C61" t="str">
            <v>F4</v>
          </cell>
          <cell r="D61" t="str">
            <v>F1</v>
          </cell>
          <cell r="E61">
            <v>46198.791666666664</v>
          </cell>
          <cell r="F61">
            <v>46199.041666666664</v>
          </cell>
          <cell r="G61">
            <v>4</v>
          </cell>
          <cell r="H61" t="str">
            <v>Kansas City</v>
          </cell>
          <cell r="I61" t="str">
            <v>Tunisia</v>
          </cell>
          <cell r="J61" t="str">
            <v>Netherlands</v>
          </cell>
        </row>
        <row r="62">
          <cell r="B62">
            <v>59</v>
          </cell>
          <cell r="C62" t="str">
            <v>D4</v>
          </cell>
          <cell r="D62" t="str">
            <v>D1</v>
          </cell>
          <cell r="E62">
            <v>46198.916666666664</v>
          </cell>
          <cell r="F62">
            <v>46199.166666666664</v>
          </cell>
          <cell r="G62">
            <v>8</v>
          </cell>
          <cell r="H62" t="str">
            <v>Los Angeles</v>
          </cell>
          <cell r="I62" t="str">
            <v>Turkey</v>
          </cell>
          <cell r="J62" t="str">
            <v>USA</v>
          </cell>
        </row>
        <row r="63">
          <cell r="B63">
            <v>60</v>
          </cell>
          <cell r="C63" t="str">
            <v>D2</v>
          </cell>
          <cell r="D63" t="str">
            <v>D3</v>
          </cell>
          <cell r="E63">
            <v>46198.916666666664</v>
          </cell>
          <cell r="F63">
            <v>46199.166666666664</v>
          </cell>
          <cell r="G63">
            <v>11</v>
          </cell>
          <cell r="H63" t="str">
            <v>San Francisco Bay Area</v>
          </cell>
          <cell r="I63" t="str">
            <v>Paraguay</v>
          </cell>
          <cell r="J63" t="str">
            <v>Australia</v>
          </cell>
        </row>
        <row r="64">
          <cell r="B64">
            <v>61</v>
          </cell>
          <cell r="C64" t="str">
            <v>I4</v>
          </cell>
          <cell r="D64" t="str">
            <v>I1</v>
          </cell>
          <cell r="E64">
            <v>46199.625</v>
          </cell>
          <cell r="F64">
            <v>46199.875</v>
          </cell>
          <cell r="G64">
            <v>12</v>
          </cell>
          <cell r="H64" t="str">
            <v>Boston</v>
          </cell>
          <cell r="I64" t="str">
            <v>Norway</v>
          </cell>
          <cell r="J64" t="str">
            <v>France</v>
          </cell>
        </row>
        <row r="65">
          <cell r="B65">
            <v>62</v>
          </cell>
          <cell r="C65" t="str">
            <v>I2</v>
          </cell>
          <cell r="D65" t="str">
            <v>I3</v>
          </cell>
          <cell r="E65">
            <v>46199.625</v>
          </cell>
          <cell r="F65">
            <v>46199.875</v>
          </cell>
          <cell r="G65">
            <v>2</v>
          </cell>
          <cell r="H65" t="str">
            <v>Toronto</v>
          </cell>
          <cell r="I65" t="str">
            <v>Senegal</v>
          </cell>
          <cell r="J65" t="str">
            <v>Iraq</v>
          </cell>
        </row>
        <row r="66">
          <cell r="B66">
            <v>63</v>
          </cell>
          <cell r="C66" t="str">
            <v>G2</v>
          </cell>
          <cell r="D66" t="str">
            <v>G3</v>
          </cell>
          <cell r="E66">
            <v>46199.958333333336</v>
          </cell>
          <cell r="F66">
            <v>46200.208333333336</v>
          </cell>
          <cell r="G66">
            <v>10</v>
          </cell>
          <cell r="H66" t="str">
            <v>Seattle</v>
          </cell>
          <cell r="I66" t="str">
            <v>Egypt</v>
          </cell>
          <cell r="J66" t="str">
            <v>IR Iran</v>
          </cell>
        </row>
        <row r="67">
          <cell r="B67">
            <v>64</v>
          </cell>
          <cell r="C67" t="str">
            <v>G4</v>
          </cell>
          <cell r="D67" t="str">
            <v>G1</v>
          </cell>
          <cell r="E67">
            <v>46199.958333333336</v>
          </cell>
          <cell r="F67">
            <v>46200.208333333336</v>
          </cell>
          <cell r="G67">
            <v>1</v>
          </cell>
          <cell r="H67" t="str">
            <v>Vancouver</v>
          </cell>
          <cell r="I67" t="str">
            <v>New Zealand</v>
          </cell>
          <cell r="J67" t="str">
            <v>Belgium</v>
          </cell>
        </row>
        <row r="68">
          <cell r="B68">
            <v>65</v>
          </cell>
          <cell r="C68" t="str">
            <v>H2</v>
          </cell>
          <cell r="D68" t="str">
            <v>H3</v>
          </cell>
          <cell r="E68">
            <v>46199.833333333336</v>
          </cell>
          <cell r="F68">
            <v>46200.083333333336</v>
          </cell>
          <cell r="G68">
            <v>6</v>
          </cell>
          <cell r="H68" t="str">
            <v>Houston</v>
          </cell>
          <cell r="I68" t="str">
            <v>Cape Verde</v>
          </cell>
          <cell r="J68" t="str">
            <v>Saudi Arabia</v>
          </cell>
        </row>
        <row r="69">
          <cell r="B69">
            <v>66</v>
          </cell>
          <cell r="C69" t="str">
            <v>H4</v>
          </cell>
          <cell r="D69" t="str">
            <v>H1</v>
          </cell>
          <cell r="E69">
            <v>46199.833333333336</v>
          </cell>
          <cell r="F69">
            <v>46200.083333333336</v>
          </cell>
          <cell r="G69">
            <v>15</v>
          </cell>
          <cell r="H69" t="str">
            <v>Guadalajara</v>
          </cell>
          <cell r="I69" t="str">
            <v>Uruguay</v>
          </cell>
          <cell r="J69" t="str">
            <v>Spain</v>
          </cell>
        </row>
        <row r="70">
          <cell r="B70">
            <v>67</v>
          </cell>
          <cell r="C70" t="str">
            <v>L4</v>
          </cell>
          <cell r="D70" t="str">
            <v>L1</v>
          </cell>
          <cell r="E70">
            <v>46200.708333333336</v>
          </cell>
          <cell r="F70">
            <v>46200.958333333336</v>
          </cell>
          <cell r="G70">
            <v>3</v>
          </cell>
          <cell r="H70" t="str">
            <v>New York/New Jersey</v>
          </cell>
          <cell r="I70" t="str">
            <v>Panama</v>
          </cell>
          <cell r="J70" t="str">
            <v>England</v>
          </cell>
        </row>
        <row r="71">
          <cell r="B71">
            <v>68</v>
          </cell>
          <cell r="C71" t="str">
            <v>L2</v>
          </cell>
          <cell r="D71" t="str">
            <v>L3</v>
          </cell>
          <cell r="E71">
            <v>46200.708333333336</v>
          </cell>
          <cell r="F71">
            <v>46200.958333333336</v>
          </cell>
          <cell r="G71">
            <v>9</v>
          </cell>
          <cell r="H71" t="str">
            <v>Philadelphia</v>
          </cell>
          <cell r="I71" t="str">
            <v>Croatia</v>
          </cell>
          <cell r="J71" t="str">
            <v>Ghana</v>
          </cell>
        </row>
        <row r="72">
          <cell r="B72">
            <v>69</v>
          </cell>
          <cell r="C72" t="str">
            <v>J2</v>
          </cell>
          <cell r="D72" t="str">
            <v>J3</v>
          </cell>
          <cell r="E72">
            <v>46200.916666666664</v>
          </cell>
          <cell r="F72">
            <v>46201.166666666664</v>
          </cell>
          <cell r="G72">
            <v>4</v>
          </cell>
          <cell r="H72" t="str">
            <v>Kansas City</v>
          </cell>
          <cell r="I72" t="str">
            <v>Algeria</v>
          </cell>
          <cell r="J72" t="str">
            <v>Austria</v>
          </cell>
        </row>
        <row r="73">
          <cell r="B73">
            <v>70</v>
          </cell>
          <cell r="C73" t="str">
            <v>J4</v>
          </cell>
          <cell r="D73" t="str">
            <v>J1</v>
          </cell>
          <cell r="E73">
            <v>46200.916666666664</v>
          </cell>
          <cell r="F73">
            <v>46201.166666666664</v>
          </cell>
          <cell r="G73">
            <v>5</v>
          </cell>
          <cell r="H73" t="str">
            <v>Dallas</v>
          </cell>
          <cell r="I73" t="str">
            <v>Jordan</v>
          </cell>
          <cell r="J73" t="str">
            <v>Argentina</v>
          </cell>
        </row>
        <row r="74">
          <cell r="B74">
            <v>71</v>
          </cell>
          <cell r="C74" t="str">
            <v>K4</v>
          </cell>
          <cell r="D74" t="str">
            <v>K1</v>
          </cell>
          <cell r="E74">
            <v>46200.8125</v>
          </cell>
          <cell r="F74">
            <v>46201.0625</v>
          </cell>
          <cell r="G74">
            <v>13</v>
          </cell>
          <cell r="H74" t="str">
            <v>Miami</v>
          </cell>
          <cell r="I74" t="str">
            <v>Colombia</v>
          </cell>
          <cell r="J74" t="str">
            <v>Portugal</v>
          </cell>
        </row>
        <row r="75">
          <cell r="B75">
            <v>72</v>
          </cell>
          <cell r="C75" t="str">
            <v>K2</v>
          </cell>
          <cell r="D75" t="str">
            <v>K3</v>
          </cell>
          <cell r="E75">
            <v>46200.8125</v>
          </cell>
          <cell r="F75">
            <v>46201.0625</v>
          </cell>
          <cell r="G75">
            <v>7</v>
          </cell>
          <cell r="H75" t="str">
            <v>Atlanta</v>
          </cell>
          <cell r="I75" t="str">
            <v>DR Congo</v>
          </cell>
          <cell r="J75" t="str">
            <v>Uzbekistan</v>
          </cell>
        </row>
        <row r="76">
          <cell r="B76" t="str">
            <v>Round of 32</v>
          </cell>
        </row>
        <row r="77">
          <cell r="B77">
            <v>73</v>
          </cell>
          <cell r="C77" t="str">
            <v>2A</v>
          </cell>
          <cell r="D77" t="str">
            <v>2B</v>
          </cell>
          <cell r="E77">
            <v>46201.625</v>
          </cell>
          <cell r="F77">
            <v>46201.875</v>
          </cell>
          <cell r="G77">
            <v>8</v>
          </cell>
          <cell r="H77" t="str">
            <v>Los Angeles</v>
          </cell>
          <cell r="I77" t="str">
            <v/>
          </cell>
          <cell r="J77" t="str">
            <v/>
          </cell>
        </row>
        <row r="78">
          <cell r="B78">
            <v>74</v>
          </cell>
          <cell r="C78" t="str">
            <v>1E</v>
          </cell>
          <cell r="D78" t="str">
            <v>3-ABCDF</v>
          </cell>
          <cell r="E78">
            <v>46202.6875</v>
          </cell>
          <cell r="F78">
            <v>46202.9375</v>
          </cell>
          <cell r="G78">
            <v>12</v>
          </cell>
          <cell r="H78" t="str">
            <v>Boston</v>
          </cell>
          <cell r="I78" t="str">
            <v/>
          </cell>
          <cell r="J78" t="str">
            <v/>
          </cell>
        </row>
        <row r="79">
          <cell r="B79">
            <v>75</v>
          </cell>
          <cell r="C79" t="str">
            <v>1F</v>
          </cell>
          <cell r="D79" t="str">
            <v>2C</v>
          </cell>
          <cell r="E79">
            <v>46202.875</v>
          </cell>
          <cell r="F79">
            <v>46203.125</v>
          </cell>
          <cell r="G79">
            <v>16</v>
          </cell>
          <cell r="H79" t="str">
            <v>Monterrey</v>
          </cell>
          <cell r="I79" t="str">
            <v/>
          </cell>
          <cell r="J79" t="str">
            <v/>
          </cell>
        </row>
        <row r="80">
          <cell r="B80">
            <v>76</v>
          </cell>
          <cell r="C80" t="str">
            <v>1C</v>
          </cell>
          <cell r="D80" t="str">
            <v>2F</v>
          </cell>
          <cell r="E80">
            <v>46202.541666666664</v>
          </cell>
          <cell r="F80">
            <v>46202.791666666664</v>
          </cell>
          <cell r="G80">
            <v>6</v>
          </cell>
          <cell r="H80" t="str">
            <v>Houston</v>
          </cell>
          <cell r="I80" t="str">
            <v/>
          </cell>
          <cell r="J80" t="str">
            <v/>
          </cell>
        </row>
        <row r="81">
          <cell r="B81">
            <v>77</v>
          </cell>
          <cell r="C81" t="str">
            <v>1I</v>
          </cell>
          <cell r="D81" t="str">
            <v>3-CDFGH</v>
          </cell>
          <cell r="E81">
            <v>46203.708333333336</v>
          </cell>
          <cell r="F81">
            <v>46203.958333333336</v>
          </cell>
          <cell r="G81">
            <v>3</v>
          </cell>
          <cell r="H81" t="str">
            <v>New York/New Jersey</v>
          </cell>
          <cell r="I81" t="str">
            <v/>
          </cell>
          <cell r="J81" t="str">
            <v/>
          </cell>
        </row>
        <row r="82">
          <cell r="B82">
            <v>78</v>
          </cell>
          <cell r="C82" t="str">
            <v>2E</v>
          </cell>
          <cell r="D82" t="str">
            <v>2I</v>
          </cell>
          <cell r="E82">
            <v>46203.541666666664</v>
          </cell>
          <cell r="F82">
            <v>46203.791666666664</v>
          </cell>
          <cell r="G82">
            <v>5</v>
          </cell>
          <cell r="H82" t="str">
            <v>Dallas</v>
          </cell>
          <cell r="I82" t="str">
            <v/>
          </cell>
          <cell r="J82" t="str">
            <v/>
          </cell>
        </row>
        <row r="83">
          <cell r="B83">
            <v>79</v>
          </cell>
          <cell r="C83" t="str">
            <v>1A</v>
          </cell>
          <cell r="D83" t="str">
            <v>3-CEFHI</v>
          </cell>
          <cell r="E83">
            <v>46203.875</v>
          </cell>
          <cell r="F83">
            <v>46204.125</v>
          </cell>
          <cell r="G83">
            <v>14</v>
          </cell>
          <cell r="H83" t="str">
            <v>Mexico City</v>
          </cell>
          <cell r="I83" t="str">
            <v/>
          </cell>
          <cell r="J83" t="str">
            <v/>
          </cell>
        </row>
        <row r="84">
          <cell r="B84">
            <v>80</v>
          </cell>
          <cell r="C84" t="str">
            <v>1L</v>
          </cell>
          <cell r="D84" t="str">
            <v>3-EHIJK</v>
          </cell>
          <cell r="E84">
            <v>46204.5</v>
          </cell>
          <cell r="F84">
            <v>46204.75</v>
          </cell>
          <cell r="G84">
            <v>7</v>
          </cell>
          <cell r="H84" t="str">
            <v>Atlanta</v>
          </cell>
          <cell r="I84" t="str">
            <v/>
          </cell>
          <cell r="J84" t="str">
            <v/>
          </cell>
        </row>
        <row r="85">
          <cell r="B85">
            <v>81</v>
          </cell>
          <cell r="C85" t="str">
            <v>1D</v>
          </cell>
          <cell r="D85" t="str">
            <v>3-BEFIJ</v>
          </cell>
          <cell r="E85">
            <v>46204.833333333336</v>
          </cell>
          <cell r="F85">
            <v>46205.083333333336</v>
          </cell>
          <cell r="G85">
            <v>11</v>
          </cell>
          <cell r="H85" t="str">
            <v>San Francisco Bay Area</v>
          </cell>
          <cell r="I85" t="str">
            <v/>
          </cell>
          <cell r="J85" t="str">
            <v/>
          </cell>
        </row>
        <row r="86">
          <cell r="B86">
            <v>82</v>
          </cell>
          <cell r="C86" t="str">
            <v>1G</v>
          </cell>
          <cell r="D86" t="str">
            <v>3-AEHIJ</v>
          </cell>
          <cell r="E86">
            <v>46204.666666666664</v>
          </cell>
          <cell r="F86">
            <v>46204.916666666664</v>
          </cell>
          <cell r="G86">
            <v>10</v>
          </cell>
          <cell r="H86" t="str">
            <v>Seattle</v>
          </cell>
          <cell r="I86" t="str">
            <v/>
          </cell>
          <cell r="J86" t="str">
            <v/>
          </cell>
        </row>
        <row r="87">
          <cell r="B87">
            <v>83</v>
          </cell>
          <cell r="C87" t="str">
            <v>2K</v>
          </cell>
          <cell r="D87" t="str">
            <v>2L</v>
          </cell>
          <cell r="E87">
            <v>46205.791666666664</v>
          </cell>
          <cell r="F87">
            <v>46206.041666666664</v>
          </cell>
          <cell r="G87">
            <v>2</v>
          </cell>
          <cell r="H87" t="str">
            <v>Toronto</v>
          </cell>
          <cell r="I87" t="str">
            <v/>
          </cell>
          <cell r="J87" t="str">
            <v/>
          </cell>
        </row>
        <row r="88">
          <cell r="B88">
            <v>84</v>
          </cell>
          <cell r="C88" t="str">
            <v>1H</v>
          </cell>
          <cell r="D88" t="str">
            <v>2J</v>
          </cell>
          <cell r="E88">
            <v>46205.625</v>
          </cell>
          <cell r="F88">
            <v>46205.875</v>
          </cell>
          <cell r="G88">
            <v>8</v>
          </cell>
          <cell r="H88" t="str">
            <v>Los Angeles</v>
          </cell>
          <cell r="I88" t="str">
            <v/>
          </cell>
          <cell r="J88" t="str">
            <v/>
          </cell>
        </row>
        <row r="89">
          <cell r="B89">
            <v>85</v>
          </cell>
          <cell r="C89" t="str">
            <v>1B</v>
          </cell>
          <cell r="D89" t="str">
            <v>3-EFGIJ</v>
          </cell>
          <cell r="E89">
            <v>46205.958333333336</v>
          </cell>
          <cell r="F89">
            <v>46206.208333333336</v>
          </cell>
          <cell r="G89">
            <v>1</v>
          </cell>
          <cell r="H89" t="str">
            <v>Vancouver</v>
          </cell>
          <cell r="I89" t="str">
            <v/>
          </cell>
          <cell r="J89" t="str">
            <v/>
          </cell>
        </row>
        <row r="90">
          <cell r="B90">
            <v>86</v>
          </cell>
          <cell r="C90" t="str">
            <v>1J</v>
          </cell>
          <cell r="D90" t="str">
            <v>2H</v>
          </cell>
          <cell r="E90">
            <v>46206.75</v>
          </cell>
          <cell r="F90">
            <v>46207</v>
          </cell>
          <cell r="G90">
            <v>13</v>
          </cell>
          <cell r="H90" t="str">
            <v>Miami</v>
          </cell>
          <cell r="I90" t="str">
            <v/>
          </cell>
          <cell r="J90" t="str">
            <v/>
          </cell>
        </row>
        <row r="91">
          <cell r="B91">
            <v>87</v>
          </cell>
          <cell r="C91" t="str">
            <v>1K</v>
          </cell>
          <cell r="D91" t="str">
            <v>3-DEIJL</v>
          </cell>
          <cell r="E91">
            <v>46206.895833333336</v>
          </cell>
          <cell r="F91">
            <v>46207.145833333336</v>
          </cell>
          <cell r="G91">
            <v>4</v>
          </cell>
          <cell r="H91" t="str">
            <v>Kansas City</v>
          </cell>
          <cell r="I91" t="str">
            <v/>
          </cell>
          <cell r="J91" t="str">
            <v/>
          </cell>
        </row>
        <row r="92">
          <cell r="B92">
            <v>88</v>
          </cell>
          <cell r="C92" t="str">
            <v>2D</v>
          </cell>
          <cell r="D92" t="str">
            <v>2G</v>
          </cell>
          <cell r="E92">
            <v>46206.583333333336</v>
          </cell>
          <cell r="F92">
            <v>46206.833333333336</v>
          </cell>
          <cell r="G92">
            <v>5</v>
          </cell>
          <cell r="H92" t="str">
            <v>Dallas</v>
          </cell>
          <cell r="I92" t="str">
            <v/>
          </cell>
          <cell r="J92" t="str">
            <v/>
          </cell>
        </row>
        <row r="93">
          <cell r="B93" t="str">
            <v>Round of 16</v>
          </cell>
        </row>
        <row r="94">
          <cell r="B94">
            <v>89</v>
          </cell>
          <cell r="C94" t="str">
            <v>W74</v>
          </cell>
          <cell r="D94" t="str">
            <v>W77</v>
          </cell>
          <cell r="E94">
            <v>46207.708333333336</v>
          </cell>
          <cell r="F94">
            <v>46207.958333333336</v>
          </cell>
          <cell r="G94">
            <v>9</v>
          </cell>
          <cell r="H94" t="str">
            <v>Philadelphia</v>
          </cell>
        </row>
        <row r="95">
          <cell r="B95">
            <v>90</v>
          </cell>
          <cell r="C95" t="str">
            <v>W73</v>
          </cell>
          <cell r="D95" t="str">
            <v>W75</v>
          </cell>
          <cell r="E95">
            <v>46207.541666666664</v>
          </cell>
          <cell r="F95">
            <v>46207.791666666664</v>
          </cell>
          <cell r="G95">
            <v>6</v>
          </cell>
          <cell r="H95" t="str">
            <v>Houston</v>
          </cell>
        </row>
        <row r="96">
          <cell r="B96">
            <v>91</v>
          </cell>
          <cell r="C96" t="str">
            <v>W76</v>
          </cell>
          <cell r="D96" t="str">
            <v>W78</v>
          </cell>
          <cell r="E96">
            <v>46208.666666666664</v>
          </cell>
          <cell r="F96">
            <v>46208.916666666664</v>
          </cell>
          <cell r="G96">
            <v>3</v>
          </cell>
          <cell r="H96" t="str">
            <v>New York/New Jersey</v>
          </cell>
        </row>
        <row r="97">
          <cell r="B97">
            <v>92</v>
          </cell>
          <cell r="C97" t="str">
            <v>W79</v>
          </cell>
          <cell r="D97" t="str">
            <v>W80</v>
          </cell>
          <cell r="E97">
            <v>46208.833333333336</v>
          </cell>
          <cell r="F97">
            <v>46209.083333333336</v>
          </cell>
          <cell r="G97">
            <v>14</v>
          </cell>
          <cell r="H97" t="str">
            <v>Mexico City</v>
          </cell>
        </row>
        <row r="98">
          <cell r="B98">
            <v>93</v>
          </cell>
          <cell r="C98" t="str">
            <v>W83</v>
          </cell>
          <cell r="D98" t="str">
            <v>W84</v>
          </cell>
          <cell r="E98">
            <v>46209.625</v>
          </cell>
          <cell r="F98">
            <v>46209.875</v>
          </cell>
          <cell r="G98">
            <v>5</v>
          </cell>
          <cell r="H98" t="str">
            <v>Dallas</v>
          </cell>
        </row>
        <row r="99">
          <cell r="B99">
            <v>94</v>
          </cell>
          <cell r="C99" t="str">
            <v>W81</v>
          </cell>
          <cell r="D99" t="str">
            <v>W82</v>
          </cell>
          <cell r="E99">
            <v>46209.833333333336</v>
          </cell>
          <cell r="F99">
            <v>46210.083333333336</v>
          </cell>
          <cell r="G99">
            <v>10</v>
          </cell>
          <cell r="H99" t="str">
            <v>Seattle</v>
          </cell>
        </row>
        <row r="100">
          <cell r="B100">
            <v>95</v>
          </cell>
          <cell r="C100" t="str">
            <v>W86</v>
          </cell>
          <cell r="D100" t="str">
            <v>W88</v>
          </cell>
          <cell r="E100">
            <v>46210.5</v>
          </cell>
          <cell r="F100">
            <v>46210.75</v>
          </cell>
          <cell r="G100">
            <v>7</v>
          </cell>
          <cell r="H100" t="str">
            <v>Atlanta</v>
          </cell>
        </row>
        <row r="101">
          <cell r="B101">
            <v>96</v>
          </cell>
          <cell r="C101" t="str">
            <v>W85</v>
          </cell>
          <cell r="D101" t="str">
            <v>W87</v>
          </cell>
          <cell r="E101">
            <v>46210.666666666664</v>
          </cell>
          <cell r="F101">
            <v>46210.916666666664</v>
          </cell>
          <cell r="G101">
            <v>1</v>
          </cell>
          <cell r="H101" t="str">
            <v>Vancouver</v>
          </cell>
        </row>
        <row r="102">
          <cell r="B102" t="str">
            <v>1/4 finals</v>
          </cell>
        </row>
        <row r="103">
          <cell r="B103">
            <v>97</v>
          </cell>
          <cell r="C103" t="str">
            <v>W89</v>
          </cell>
          <cell r="D103" t="str">
            <v>W90</v>
          </cell>
          <cell r="E103">
            <v>46212.666666666664</v>
          </cell>
          <cell r="F103">
            <v>46212.916666666664</v>
          </cell>
          <cell r="G103">
            <v>12</v>
          </cell>
          <cell r="H103" t="str">
            <v>Boston</v>
          </cell>
        </row>
        <row r="104">
          <cell r="B104">
            <v>98</v>
          </cell>
          <cell r="C104" t="str">
            <v>W93</v>
          </cell>
          <cell r="D104" t="str">
            <v>W94</v>
          </cell>
          <cell r="E104">
            <v>46213.625</v>
          </cell>
          <cell r="F104">
            <v>46213.875</v>
          </cell>
          <cell r="G104">
            <v>8</v>
          </cell>
          <cell r="H104" t="str">
            <v>Los Angeles</v>
          </cell>
        </row>
        <row r="105">
          <cell r="B105">
            <v>99</v>
          </cell>
          <cell r="C105" t="str">
            <v>W91</v>
          </cell>
          <cell r="D105" t="str">
            <v>W92</v>
          </cell>
          <cell r="E105">
            <v>46214.708333333336</v>
          </cell>
          <cell r="F105">
            <v>46214.958333333336</v>
          </cell>
          <cell r="G105">
            <v>13</v>
          </cell>
          <cell r="H105" t="str">
            <v>Miami</v>
          </cell>
        </row>
        <row r="106">
          <cell r="B106">
            <v>100</v>
          </cell>
          <cell r="C106" t="str">
            <v>W95</v>
          </cell>
          <cell r="D106" t="str">
            <v>W96</v>
          </cell>
          <cell r="E106">
            <v>46214.875</v>
          </cell>
          <cell r="F106">
            <v>46215.125</v>
          </cell>
          <cell r="G106">
            <v>4</v>
          </cell>
          <cell r="H106" t="str">
            <v>Kansas City</v>
          </cell>
        </row>
        <row r="107">
          <cell r="B107" t="str">
            <v>1/2 finals</v>
          </cell>
        </row>
        <row r="108">
          <cell r="B108">
            <v>101</v>
          </cell>
          <cell r="C108" t="str">
            <v>W97</v>
          </cell>
          <cell r="D108" t="str">
            <v>W98</v>
          </cell>
          <cell r="E108">
            <v>46217.625</v>
          </cell>
          <cell r="F108">
            <v>46217.875</v>
          </cell>
          <cell r="G108">
            <v>5</v>
          </cell>
          <cell r="H108" t="str">
            <v>Dallas</v>
          </cell>
        </row>
        <row r="109">
          <cell r="B109">
            <v>102</v>
          </cell>
          <cell r="C109" t="str">
            <v>W99</v>
          </cell>
          <cell r="D109" t="str">
            <v>W100</v>
          </cell>
          <cell r="E109">
            <v>46218.625</v>
          </cell>
          <cell r="F109">
            <v>46218.875</v>
          </cell>
          <cell r="G109">
            <v>7</v>
          </cell>
          <cell r="H109" t="str">
            <v>Atlanta</v>
          </cell>
        </row>
        <row r="110">
          <cell r="B110" t="str">
            <v>Third Place</v>
          </cell>
        </row>
        <row r="111">
          <cell r="B111">
            <v>103</v>
          </cell>
          <cell r="C111" t="str">
            <v>RU101</v>
          </cell>
          <cell r="D111" t="str">
            <v>RU102</v>
          </cell>
          <cell r="E111">
            <v>46221.708333333336</v>
          </cell>
          <cell r="F111">
            <v>46221.958333333336</v>
          </cell>
          <cell r="G111">
            <v>13</v>
          </cell>
          <cell r="H111" t="str">
            <v>Miami</v>
          </cell>
        </row>
        <row r="112">
          <cell r="B112" t="str">
            <v>Final</v>
          </cell>
        </row>
        <row r="113">
          <cell r="B113">
            <v>104</v>
          </cell>
          <cell r="C113" t="str">
            <v>W101</v>
          </cell>
          <cell r="D113" t="str">
            <v>W102</v>
          </cell>
          <cell r="E113">
            <v>46222.625</v>
          </cell>
          <cell r="F113">
            <v>46222.875</v>
          </cell>
          <cell r="G113">
            <v>3</v>
          </cell>
          <cell r="H113" t="str">
            <v>New York/New Jersey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1DB2-DBF9-48FC-BE9E-3C2340F0179D}">
  <dimension ref="A1:O149"/>
  <sheetViews>
    <sheetView showGridLines="0" showRowColHeaders="0" tabSelected="1" workbookViewId="0">
      <selection activeCell="K16" sqref="K16"/>
    </sheetView>
  </sheetViews>
  <sheetFormatPr defaultColWidth="0" defaultRowHeight="14.5" zeroHeight="1" x14ac:dyDescent="0.35"/>
  <cols>
    <col min="1" max="1" width="11.453125" customWidth="1"/>
    <col min="2" max="2" width="21.54296875" style="2" customWidth="1"/>
    <col min="3" max="3" width="10.26953125" customWidth="1"/>
    <col min="4" max="4" width="18" customWidth="1"/>
    <col min="5" max="5" width="19" customWidth="1"/>
    <col min="6" max="6" width="9.26953125" customWidth="1"/>
    <col min="7" max="7" width="8.7265625" style="1" customWidth="1"/>
    <col min="8" max="8" width="9.81640625" style="1" customWidth="1"/>
    <col min="9" max="9" width="22" style="1" customWidth="1"/>
    <col min="10" max="10" width="12.7265625" customWidth="1"/>
    <col min="11" max="12" width="11.453125" customWidth="1"/>
    <col min="13" max="13" width="5.7265625" customWidth="1"/>
    <col min="14" max="14" width="19.26953125" customWidth="1"/>
    <col min="15" max="15" width="11.453125" customWidth="1"/>
    <col min="16" max="16384" width="11.453125" hidden="1"/>
  </cols>
  <sheetData>
    <row r="1" spans="1:14" ht="28.5" x14ac:dyDescent="0.65">
      <c r="A1" s="63"/>
      <c r="B1" s="62" t="str">
        <f>[1]Language!$E$250</f>
        <v>Daily schedule</v>
      </c>
      <c r="C1" s="62"/>
      <c r="D1" s="62"/>
      <c r="E1" s="62"/>
      <c r="F1" s="62"/>
      <c r="G1" s="62"/>
      <c r="H1" s="62"/>
      <c r="I1" s="61"/>
    </row>
    <row r="2" spans="1:14" ht="29" thickBot="1" x14ac:dyDescent="0.7">
      <c r="A2" s="58"/>
      <c r="B2" s="60"/>
      <c r="C2" s="60"/>
      <c r="D2" s="60"/>
      <c r="E2" s="60"/>
      <c r="F2" s="60"/>
      <c r="G2" s="60"/>
      <c r="H2" s="60"/>
      <c r="I2" s="60"/>
      <c r="M2" s="59" t="str">
        <f>[1]Language!$E$261</f>
        <v>Color favorites</v>
      </c>
      <c r="N2" s="59"/>
    </row>
    <row r="3" spans="1:14" ht="15.5" thickTop="1" thickBot="1" x14ac:dyDescent="0.4">
      <c r="A3" s="58"/>
      <c r="B3" s="57" t="str">
        <f>[1]Language!$E$260</f>
        <v>Date</v>
      </c>
      <c r="C3" s="56" t="str">
        <f>[1]Language!$E$253</f>
        <v>Time</v>
      </c>
      <c r="D3" s="56" t="str">
        <f>[1]Language!$E$254</f>
        <v>Team 1</v>
      </c>
      <c r="E3" s="55" t="str">
        <f>[1]Language!$E$255</f>
        <v>Team 2</v>
      </c>
      <c r="F3" s="53" t="str">
        <f>[1]Language!$E$251</f>
        <v>Match No.</v>
      </c>
      <c r="G3" s="54" t="str">
        <f>[1]Language!$E$252</f>
        <v>Teams</v>
      </c>
      <c r="H3" s="54"/>
      <c r="I3" s="53" t="str">
        <f>[1]Language!$E$185</f>
        <v>Venue</v>
      </c>
      <c r="J3" s="52" t="str">
        <f>[1]Language!$E$184</f>
        <v>TV channel</v>
      </c>
      <c r="K3" s="51"/>
      <c r="M3" s="50" t="str">
        <f>[1]Language!$E$262</f>
        <v>Enter the group code here</v>
      </c>
      <c r="N3" s="50"/>
    </row>
    <row r="4" spans="1:14" x14ac:dyDescent="0.35">
      <c r="B4" s="30">
        <f>INDEX([1]Matches!$B$4:$J$113,MATCH($F4,[1]Matches!$B$4:$B$113,0),5)</f>
        <v>46184.875</v>
      </c>
      <c r="C4" s="29">
        <f>INDEX([1]Matches!$B$4:$J$113,MATCH($F4,[1]Matches!$B$4:$B$113,0),5)</f>
        <v>46184.875</v>
      </c>
      <c r="D4" s="37" t="str">
        <f>INDEX([1]Matches!$B$4:$J$113,MATCH($F4,[1]Matches!$B$4:$B$113,0),8)</f>
        <v>Mexico</v>
      </c>
      <c r="E4" s="37" t="str">
        <f>INDEX([1]Matches!$B$4:$J$113,MATCH($F4,[1]Matches!$B$4:$B$113,0),9)</f>
        <v>South Africa</v>
      </c>
      <c r="F4" s="35">
        <v>1</v>
      </c>
      <c r="G4" s="26" t="str">
        <f>INDEX([1]Matches!$B$4:$J$113,MATCH($F4,[1]Matches!$B$4:$B$113,0),2)</f>
        <v>A1</v>
      </c>
      <c r="H4" s="26" t="str">
        <f>INDEX([1]Matches!$B$4:$J$113,MATCH($F4,[1]Matches!$B$4:$B$113,0),3)</f>
        <v>A2</v>
      </c>
      <c r="I4" s="26" t="str">
        <f>IFERROR(VLOOKUP($F4,[1]Matches!$B$4:$H$113,7,0),"")</f>
        <v>Mexico City</v>
      </c>
      <c r="J4" s="25"/>
      <c r="K4" s="24"/>
      <c r="M4" s="50"/>
      <c r="N4" s="50"/>
    </row>
    <row r="5" spans="1:14" x14ac:dyDescent="0.35">
      <c r="B5" s="30">
        <f>INDEX([1]Matches!$B$4:$J$113,MATCH($F5,[1]Matches!$B$4:$B$113,0),5)</f>
        <v>46185.166666666664</v>
      </c>
      <c r="C5" s="29">
        <f>INDEX([1]Matches!$B$4:$J$113,MATCH($F5,[1]Matches!$B$4:$B$113,0),5)</f>
        <v>46185.166666666664</v>
      </c>
      <c r="D5" s="37" t="str">
        <f>INDEX([1]Matches!$B$4:$J$113,MATCH($F5,[1]Matches!$B$4:$B$113,0),8)</f>
        <v>Rep. of Korea</v>
      </c>
      <c r="E5" s="37" t="str">
        <f>INDEX([1]Matches!$B$4:$J$113,MATCH($F5,[1]Matches!$B$4:$B$113,0),9)</f>
        <v>Czech Rep.</v>
      </c>
      <c r="F5" s="27">
        <v>2</v>
      </c>
      <c r="G5" s="26" t="str">
        <f>INDEX([1]Matches!$B$4:$J$113,MATCH($F5,[1]Matches!$B$4:$B$113,0),2)</f>
        <v>A3</v>
      </c>
      <c r="H5" s="26" t="str">
        <f>INDEX([1]Matches!$B$4:$J$113,MATCH($F5,[1]Matches!$B$4:$B$113,0),3)</f>
        <v>A4</v>
      </c>
      <c r="I5" s="26" t="str">
        <f>IFERROR(VLOOKUP($F5,[1]Matches!$B$4:$H$113,7,0),"")</f>
        <v>Guadalajara</v>
      </c>
      <c r="J5" s="25"/>
      <c r="K5" s="24"/>
      <c r="M5" s="50"/>
      <c r="N5" s="50"/>
    </row>
    <row r="6" spans="1:14" ht="15.5" thickBot="1" x14ac:dyDescent="0.4">
      <c r="B6" s="23"/>
      <c r="C6" s="22"/>
      <c r="D6" s="21"/>
      <c r="E6" s="21"/>
      <c r="F6" s="20"/>
      <c r="G6" s="19"/>
      <c r="H6" s="19"/>
      <c r="I6" s="19"/>
      <c r="J6" s="19"/>
      <c r="K6" s="18"/>
      <c r="M6" s="49" t="s">
        <v>4</v>
      </c>
    </row>
    <row r="7" spans="1:14" x14ac:dyDescent="0.35">
      <c r="B7" s="30">
        <f>INDEX([1]Matches!$B$4:$J$113,MATCH($F7,[1]Matches!$B$4:$B$113,0),5)</f>
        <v>46185.875</v>
      </c>
      <c r="C7" s="29">
        <f>INDEX([1]Matches!$B$4:$J$113,MATCH($F7,[1]Matches!$B$4:$B$113,0),5)</f>
        <v>46185.875</v>
      </c>
      <c r="D7" s="37" t="str">
        <f>INDEX([1]Matches!$B$4:$J$113,MATCH($F7,[1]Matches!$B$4:$B$113,0),8)</f>
        <v>Canada</v>
      </c>
      <c r="E7" s="37" t="str">
        <f>INDEX([1]Matches!$B$4:$J$113,MATCH($F7,[1]Matches!$B$4:$B$113,0),9)</f>
        <v>Bosnia/Herzeg.</v>
      </c>
      <c r="F7" s="27">
        <v>3</v>
      </c>
      <c r="G7" s="26" t="str">
        <f>INDEX([1]Matches!$B$4:$J$113,MATCH($F7,[1]Matches!$B$4:$B$113,0),2)</f>
        <v>B1</v>
      </c>
      <c r="H7" s="26" t="str">
        <f>INDEX([1]Matches!$B$4:$J$113,MATCH($F7,[1]Matches!$B$4:$B$113,0),3)</f>
        <v>B2</v>
      </c>
      <c r="I7" s="26" t="str">
        <f>IFERROR(VLOOKUP($F7,[1]Matches!$B$4:$H$113,7,0),"")</f>
        <v>Toronto</v>
      </c>
      <c r="J7" s="25"/>
      <c r="K7" s="24"/>
      <c r="M7" s="48" t="s">
        <v>3</v>
      </c>
      <c r="N7" s="47" t="str">
        <f>IFERROR(VLOOKUP(M7,[1]Groups!$B$7:$D$65,3,0),"")</f>
        <v>England</v>
      </c>
    </row>
    <row r="8" spans="1:14" x14ac:dyDescent="0.35">
      <c r="B8" s="30">
        <f>INDEX([1]Matches!$B$4:$J$113,MATCH($F8,[1]Matches!$B$4:$B$113,0),5)</f>
        <v>46186.125</v>
      </c>
      <c r="C8" s="29">
        <f>INDEX([1]Matches!$B$4:$J$113,MATCH($F8,[1]Matches!$B$4:$B$113,0),5)</f>
        <v>46186.125</v>
      </c>
      <c r="D8" s="37" t="str">
        <f>INDEX([1]Matches!$B$4:$J$113,MATCH($F8,[1]Matches!$B$4:$B$113,0),8)</f>
        <v>USA</v>
      </c>
      <c r="E8" s="37" t="str">
        <f>INDEX([1]Matches!$B$4:$J$113,MATCH($F8,[1]Matches!$B$4:$B$113,0),9)</f>
        <v>Paraguay</v>
      </c>
      <c r="F8" s="27">
        <v>4</v>
      </c>
      <c r="G8" s="26" t="str">
        <f>INDEX([1]Matches!$B$4:$J$113,MATCH($F8,[1]Matches!$B$4:$B$113,0),2)</f>
        <v>D1</v>
      </c>
      <c r="H8" s="26" t="str">
        <f>INDEX([1]Matches!$B$4:$J$113,MATCH($F8,[1]Matches!$B$4:$B$113,0),3)</f>
        <v>D2</v>
      </c>
      <c r="I8" s="26" t="str">
        <f>IFERROR(VLOOKUP($F8,[1]Matches!$B$4:$H$113,7,0),"")</f>
        <v>Los Angeles</v>
      </c>
      <c r="J8" s="25"/>
      <c r="K8" s="24"/>
      <c r="M8" s="45" t="s">
        <v>2</v>
      </c>
      <c r="N8" s="46" t="str">
        <f>IFERROR(VLOOKUP(M8,[1]Groups!$B$7:$D$65,3,0),"")</f>
        <v>USA</v>
      </c>
    </row>
    <row r="9" spans="1:14" x14ac:dyDescent="0.35">
      <c r="B9" s="23"/>
      <c r="C9" s="22"/>
      <c r="D9" s="21"/>
      <c r="E9" s="21"/>
      <c r="F9" s="20"/>
      <c r="G9" s="19"/>
      <c r="H9" s="19"/>
      <c r="I9" s="19"/>
      <c r="J9" s="19"/>
      <c r="K9" s="18"/>
      <c r="M9" s="45" t="s">
        <v>1</v>
      </c>
      <c r="N9" s="44" t="str">
        <f>IFERROR(VLOOKUP(M9,[1]Groups!$B$7:$D$65,3,0),"")</f>
        <v>Canada</v>
      </c>
    </row>
    <row r="10" spans="1:14" ht="15" thickBot="1" x14ac:dyDescent="0.4">
      <c r="B10" s="23">
        <f>INDEX([1]Matches!$B$4:$J$113,MATCH($F10,[1]Matches!$B$4:$B$113,0),5)</f>
        <v>46186.875</v>
      </c>
      <c r="C10" s="22">
        <f>INDEX([1]Matches!$B$4:$J$113,MATCH($F10,[1]Matches!$B$4:$B$113,0),5)</f>
        <v>46186.875</v>
      </c>
      <c r="D10" s="41" t="str">
        <f>INDEX([1]Matches!$B$4:$J$113,MATCH($F10,[1]Matches!$B$4:$B$113,0),8)</f>
        <v>Qatar</v>
      </c>
      <c r="E10" s="41" t="str">
        <f>INDEX([1]Matches!$B$4:$J$113,MATCH($F10,[1]Matches!$B$4:$B$113,0),9)</f>
        <v>Switzerland</v>
      </c>
      <c r="F10" s="20">
        <v>8</v>
      </c>
      <c r="G10" s="19" t="str">
        <f>INDEX([1]Matches!$B$4:$J$113,MATCH($F10,[1]Matches!$B$4:$B$113,0),2)</f>
        <v>B3</v>
      </c>
      <c r="H10" s="19" t="str">
        <f>INDEX([1]Matches!$B$4:$J$113,MATCH($F10,[1]Matches!$B$4:$B$113,0),3)</f>
        <v>B4</v>
      </c>
      <c r="I10" s="19" t="str">
        <f>IFERROR(VLOOKUP($F10,[1]Matches!$B$4:$H$113,7,0),"")</f>
        <v>San Francisco Bay Area</v>
      </c>
      <c r="J10" s="25"/>
      <c r="K10" s="24"/>
      <c r="M10" s="43" t="s">
        <v>0</v>
      </c>
      <c r="N10" s="42" t="str">
        <f>IFERROR(VLOOKUP(M10,[1]Groups!$B$7:$D$65,3,0),"")</f>
        <v>Mexico</v>
      </c>
    </row>
    <row r="11" spans="1:14" x14ac:dyDescent="0.35">
      <c r="B11" s="30">
        <f>INDEX([1]Matches!$B$4:$J$113,MATCH($F11,[1]Matches!$B$4:$B$113,0),5)</f>
        <v>46187</v>
      </c>
      <c r="C11" s="29">
        <f>INDEX([1]Matches!$B$4:$J$113,MATCH($F11,[1]Matches!$B$4:$B$113,0),5)</f>
        <v>46187</v>
      </c>
      <c r="D11" s="37" t="str">
        <f>INDEX([1]Matches!$B$4:$J$113,MATCH($F11,[1]Matches!$B$4:$B$113,0),8)</f>
        <v>Brazil</v>
      </c>
      <c r="E11" s="37" t="str">
        <f>INDEX([1]Matches!$B$4:$J$113,MATCH($F11,[1]Matches!$B$4:$B$113,0),9)</f>
        <v>Morocco</v>
      </c>
      <c r="F11" s="27">
        <v>7</v>
      </c>
      <c r="G11" s="26" t="str">
        <f>INDEX([1]Matches!$B$4:$J$113,MATCH($F11,[1]Matches!$B$4:$B$113,0),2)</f>
        <v>C1</v>
      </c>
      <c r="H11" s="26" t="str">
        <f>INDEX([1]Matches!$B$4:$J$113,MATCH($F11,[1]Matches!$B$4:$B$113,0),3)</f>
        <v>C2</v>
      </c>
      <c r="I11" s="26" t="str">
        <f>IFERROR(VLOOKUP($F11,[1]Matches!$B$4:$H$113,7,0),"")</f>
        <v>New York/New Jersey</v>
      </c>
      <c r="J11" s="25"/>
      <c r="K11" s="24"/>
    </row>
    <row r="12" spans="1:14" x14ac:dyDescent="0.35">
      <c r="B12" s="30">
        <f>INDEX([1]Matches!$B$4:$J$113,MATCH($F12,[1]Matches!$B$4:$B$113,0),5)</f>
        <v>46187.125</v>
      </c>
      <c r="C12" s="29">
        <f>INDEX([1]Matches!$B$4:$J$113,MATCH($F12,[1]Matches!$B$4:$B$113,0),5)</f>
        <v>46187.125</v>
      </c>
      <c r="D12" s="37" t="str">
        <f>INDEX([1]Matches!$B$4:$J$113,MATCH($F12,[1]Matches!$B$4:$B$113,0),8)</f>
        <v>Haiti</v>
      </c>
      <c r="E12" s="37" t="str">
        <f>INDEX([1]Matches!$B$4:$J$113,MATCH($F12,[1]Matches!$B$4:$B$113,0),9)</f>
        <v>Scotland</v>
      </c>
      <c r="F12" s="27">
        <v>5</v>
      </c>
      <c r="G12" s="26" t="str">
        <f>INDEX([1]Matches!$B$4:$J$113,MATCH($F12,[1]Matches!$B$4:$B$113,0),2)</f>
        <v>C3</v>
      </c>
      <c r="H12" s="26" t="str">
        <f>INDEX([1]Matches!$B$4:$J$113,MATCH($F12,[1]Matches!$B$4:$B$113,0),3)</f>
        <v>C4</v>
      </c>
      <c r="I12" s="26" t="str">
        <f>IFERROR(VLOOKUP($F12,[1]Matches!$B$4:$H$113,7,0),"")</f>
        <v>Boston</v>
      </c>
      <c r="J12" s="25"/>
      <c r="K12" s="24"/>
    </row>
    <row r="13" spans="1:14" x14ac:dyDescent="0.35">
      <c r="B13" s="30">
        <f>INDEX([1]Matches!$B$4:$J$113,MATCH($F13,[1]Matches!$B$4:$B$113,0),5)</f>
        <v>46187.25</v>
      </c>
      <c r="C13" s="29">
        <f>INDEX([1]Matches!$B$4:$J$113,MATCH($F13,[1]Matches!$B$4:$B$113,0),5)</f>
        <v>46187.25</v>
      </c>
      <c r="D13" s="37" t="str">
        <f>INDEX([1]Matches!$B$4:$J$113,MATCH($F13,[1]Matches!$B$4:$B$113,0),8)</f>
        <v>Australia</v>
      </c>
      <c r="E13" s="37" t="str">
        <f>INDEX([1]Matches!$B$4:$J$113,MATCH($F13,[1]Matches!$B$4:$B$113,0),9)</f>
        <v>Turkey</v>
      </c>
      <c r="F13" s="27">
        <v>6</v>
      </c>
      <c r="G13" s="26" t="str">
        <f>INDEX([1]Matches!$B$4:$J$113,MATCH($F13,[1]Matches!$B$4:$B$113,0),2)</f>
        <v>D3</v>
      </c>
      <c r="H13" s="26" t="str">
        <f>INDEX([1]Matches!$B$4:$J$113,MATCH($F13,[1]Matches!$B$4:$B$113,0),3)</f>
        <v>D4</v>
      </c>
      <c r="I13" s="26" t="str">
        <f>IFERROR(VLOOKUP($F13,[1]Matches!$B$4:$H$113,7,0),"")</f>
        <v>Vancouver</v>
      </c>
      <c r="J13" s="25"/>
      <c r="K13" s="24"/>
    </row>
    <row r="14" spans="1:14" x14ac:dyDescent="0.35">
      <c r="B14" s="23"/>
      <c r="C14" s="22"/>
      <c r="D14" s="21"/>
      <c r="E14" s="21"/>
      <c r="F14" s="20"/>
      <c r="G14" s="19"/>
      <c r="H14" s="19"/>
      <c r="I14" s="19"/>
      <c r="J14" s="19"/>
      <c r="K14" s="18"/>
    </row>
    <row r="15" spans="1:14" x14ac:dyDescent="0.35">
      <c r="B15" s="30">
        <f>INDEX([1]Matches!$B$4:$J$113,MATCH($F15,[1]Matches!$B$4:$B$113,0),5)</f>
        <v>46187.791666666664</v>
      </c>
      <c r="C15" s="29">
        <f>INDEX([1]Matches!$B$4:$J$113,MATCH($F15,[1]Matches!$B$4:$B$113,0),5)</f>
        <v>46187.791666666664</v>
      </c>
      <c r="D15" s="37" t="str">
        <f>INDEX([1]Matches!$B$4:$J$113,MATCH($F15,[1]Matches!$B$4:$B$113,0),8)</f>
        <v>Germany</v>
      </c>
      <c r="E15" s="37" t="str">
        <f>INDEX([1]Matches!$B$4:$J$113,MATCH($F15,[1]Matches!$B$4:$B$113,0),9)</f>
        <v>Curaçao</v>
      </c>
      <c r="F15" s="27">
        <v>10</v>
      </c>
      <c r="G15" s="26" t="str">
        <f>INDEX([1]Matches!$B$4:$J$113,MATCH($F15,[1]Matches!$B$4:$B$113,0),2)</f>
        <v>E1</v>
      </c>
      <c r="H15" s="26" t="str">
        <f>INDEX([1]Matches!$B$4:$J$113,MATCH($F15,[1]Matches!$B$4:$B$113,0),3)</f>
        <v>E2</v>
      </c>
      <c r="I15" s="26" t="str">
        <f>IFERROR(VLOOKUP($F15,[1]Matches!$B$4:$H$113,7,0),"")</f>
        <v>Houston</v>
      </c>
      <c r="J15" s="25"/>
      <c r="K15" s="24"/>
    </row>
    <row r="16" spans="1:14" x14ac:dyDescent="0.35">
      <c r="B16" s="30">
        <f>INDEX([1]Matches!$B$4:$J$113,MATCH($F16,[1]Matches!$B$4:$B$113,0),5)</f>
        <v>46187.916666666664</v>
      </c>
      <c r="C16" s="29">
        <f>INDEX([1]Matches!$B$4:$J$113,MATCH($F16,[1]Matches!$B$4:$B$113,0),5)</f>
        <v>46187.916666666664</v>
      </c>
      <c r="D16" s="37" t="str">
        <f>INDEX([1]Matches!$B$4:$J$113,MATCH($F16,[1]Matches!$B$4:$B$113,0),8)</f>
        <v>Netherlands</v>
      </c>
      <c r="E16" s="37" t="str">
        <f>INDEX([1]Matches!$B$4:$J$113,MATCH($F16,[1]Matches!$B$4:$B$113,0),9)</f>
        <v>Japan</v>
      </c>
      <c r="F16" s="27">
        <v>11</v>
      </c>
      <c r="G16" s="26" t="str">
        <f>INDEX([1]Matches!$B$4:$J$113,MATCH($F16,[1]Matches!$B$4:$B$113,0),2)</f>
        <v>F1</v>
      </c>
      <c r="H16" s="26" t="str">
        <f>INDEX([1]Matches!$B$4:$J$113,MATCH($F16,[1]Matches!$B$4:$B$113,0),3)</f>
        <v>F2</v>
      </c>
      <c r="I16" s="26" t="str">
        <f>IFERROR(VLOOKUP($F16,[1]Matches!$B$4:$H$113,7,0),"")</f>
        <v>Dallas</v>
      </c>
      <c r="J16" s="25"/>
      <c r="K16" s="24"/>
    </row>
    <row r="17" spans="2:11" x14ac:dyDescent="0.35">
      <c r="B17" s="30">
        <f>INDEX([1]Matches!$B$4:$J$113,MATCH($F17,[1]Matches!$B$4:$B$113,0),5)</f>
        <v>46188.041666666664</v>
      </c>
      <c r="C17" s="29">
        <f>INDEX([1]Matches!$B$4:$J$113,MATCH($F17,[1]Matches!$B$4:$B$113,0),5)</f>
        <v>46188.041666666664</v>
      </c>
      <c r="D17" s="37" t="str">
        <f>INDEX([1]Matches!$B$4:$J$113,MATCH($F17,[1]Matches!$B$4:$B$113,0),8)</f>
        <v>Ivory Coast</v>
      </c>
      <c r="E17" s="37" t="str">
        <f>INDEX([1]Matches!$B$4:$J$113,MATCH($F17,[1]Matches!$B$4:$B$113,0),9)</f>
        <v>Ecuador</v>
      </c>
      <c r="F17" s="27">
        <v>9</v>
      </c>
      <c r="G17" s="26" t="str">
        <f>INDEX([1]Matches!$B$4:$J$113,MATCH($F17,[1]Matches!$B$4:$B$113,0),2)</f>
        <v>E3</v>
      </c>
      <c r="H17" s="26" t="str">
        <f>INDEX([1]Matches!$B$4:$J$113,MATCH($F17,[1]Matches!$B$4:$B$113,0),3)</f>
        <v>E4</v>
      </c>
      <c r="I17" s="26" t="str">
        <f>IFERROR(VLOOKUP($F17,[1]Matches!$B$4:$H$113,7,0),"")</f>
        <v>Philadelphia</v>
      </c>
      <c r="J17" s="25"/>
      <c r="K17" s="24"/>
    </row>
    <row r="18" spans="2:11" x14ac:dyDescent="0.35">
      <c r="B18" s="30">
        <f>INDEX([1]Matches!$B$4:$J$113,MATCH($F18,[1]Matches!$B$4:$B$113,0),5)</f>
        <v>46188.166666666664</v>
      </c>
      <c r="C18" s="29">
        <f>INDEX([1]Matches!$B$4:$J$113,MATCH($F18,[1]Matches!$B$4:$B$113,0),5)</f>
        <v>46188.166666666664</v>
      </c>
      <c r="D18" s="37" t="str">
        <f>INDEX([1]Matches!$B$4:$J$113,MATCH($F18,[1]Matches!$B$4:$B$113,0),8)</f>
        <v>Sweden</v>
      </c>
      <c r="E18" s="37" t="str">
        <f>INDEX([1]Matches!$B$4:$J$113,MATCH($F18,[1]Matches!$B$4:$B$113,0),9)</f>
        <v>Tunisia</v>
      </c>
      <c r="F18" s="27">
        <v>12</v>
      </c>
      <c r="G18" s="26" t="str">
        <f>INDEX([1]Matches!$B$4:$J$113,MATCH($F18,[1]Matches!$B$4:$B$113,0),2)</f>
        <v>F3</v>
      </c>
      <c r="H18" s="26" t="str">
        <f>INDEX([1]Matches!$B$4:$J$113,MATCH($F18,[1]Matches!$B$4:$B$113,0),3)</f>
        <v>F4</v>
      </c>
      <c r="I18" s="26" t="str">
        <f>IFERROR(VLOOKUP($F18,[1]Matches!$B$4:$H$113,7,0),"")</f>
        <v>Monterrey</v>
      </c>
      <c r="J18" s="25"/>
      <c r="K18" s="24"/>
    </row>
    <row r="19" spans="2:11" x14ac:dyDescent="0.35">
      <c r="B19" s="23"/>
      <c r="C19" s="22"/>
      <c r="D19" s="21"/>
      <c r="E19" s="21"/>
      <c r="F19" s="20"/>
      <c r="G19" s="19"/>
      <c r="H19" s="19"/>
      <c r="I19" s="19"/>
      <c r="J19" s="19"/>
      <c r="K19" s="18"/>
    </row>
    <row r="20" spans="2:11" x14ac:dyDescent="0.35">
      <c r="B20" s="30">
        <f>INDEX([1]Matches!$B$4:$J$113,MATCH($F20,[1]Matches!$B$4:$B$113,0),5)</f>
        <v>46188.75</v>
      </c>
      <c r="C20" s="29">
        <f>INDEX([1]Matches!$B$4:$J$113,MATCH($F20,[1]Matches!$B$4:$B$113,0),5)</f>
        <v>46188.75</v>
      </c>
      <c r="D20" s="37" t="str">
        <f>INDEX([1]Matches!$B$4:$J$113,MATCH($F20,[1]Matches!$B$4:$B$113,0),8)</f>
        <v>Spain</v>
      </c>
      <c r="E20" s="37" t="str">
        <f>INDEX([1]Matches!$B$4:$J$113,MATCH($F20,[1]Matches!$B$4:$B$113,0),9)</f>
        <v>Cape Verde</v>
      </c>
      <c r="F20" s="27">
        <v>14</v>
      </c>
      <c r="G20" s="26" t="str">
        <f>INDEX([1]Matches!$B$4:$J$113,MATCH($F20,[1]Matches!$B$4:$B$113,0),2)</f>
        <v>H1</v>
      </c>
      <c r="H20" s="26" t="str">
        <f>INDEX([1]Matches!$B$4:$J$113,MATCH($F20,[1]Matches!$B$4:$B$113,0),3)</f>
        <v>H2</v>
      </c>
      <c r="I20" s="26" t="str">
        <f>IFERROR(VLOOKUP($F20,[1]Matches!$B$4:$H$113,7,0),"")</f>
        <v>Atlanta</v>
      </c>
      <c r="J20" s="25"/>
      <c r="K20" s="24"/>
    </row>
    <row r="21" spans="2:11" x14ac:dyDescent="0.35">
      <c r="B21" s="30">
        <f>INDEX([1]Matches!$B$4:$J$113,MATCH($F21,[1]Matches!$B$4:$B$113,0),5)</f>
        <v>46188.875</v>
      </c>
      <c r="C21" s="29">
        <f>INDEX([1]Matches!$B$4:$J$113,MATCH($F21,[1]Matches!$B$4:$B$113,0),5)</f>
        <v>46188.875</v>
      </c>
      <c r="D21" s="37" t="str">
        <f>INDEX([1]Matches!$B$4:$J$113,MATCH($F21,[1]Matches!$B$4:$B$113,0),8)</f>
        <v>Belgium</v>
      </c>
      <c r="E21" s="37" t="str">
        <f>INDEX([1]Matches!$B$4:$J$113,MATCH($F21,[1]Matches!$B$4:$B$113,0),9)</f>
        <v>Egypt</v>
      </c>
      <c r="F21" s="27">
        <v>16</v>
      </c>
      <c r="G21" s="26" t="str">
        <f>INDEX([1]Matches!$B$4:$J$113,MATCH($F21,[1]Matches!$B$4:$B$113,0),2)</f>
        <v>G1</v>
      </c>
      <c r="H21" s="26" t="str">
        <f>INDEX([1]Matches!$B$4:$J$113,MATCH($F21,[1]Matches!$B$4:$B$113,0),3)</f>
        <v>G2</v>
      </c>
      <c r="I21" s="26" t="str">
        <f>IFERROR(VLOOKUP($F21,[1]Matches!$B$4:$H$113,7,0),"")</f>
        <v>Seattle</v>
      </c>
      <c r="J21" s="25"/>
      <c r="K21" s="24"/>
    </row>
    <row r="22" spans="2:11" x14ac:dyDescent="0.35">
      <c r="B22" s="30">
        <f>INDEX([1]Matches!$B$4:$J$113,MATCH($F22,[1]Matches!$B$4:$B$113,0),5)</f>
        <v>46189</v>
      </c>
      <c r="C22" s="29">
        <f>INDEX([1]Matches!$B$4:$J$113,MATCH($F22,[1]Matches!$B$4:$B$113,0),5)</f>
        <v>46189</v>
      </c>
      <c r="D22" s="37" t="str">
        <f>INDEX([1]Matches!$B$4:$J$113,MATCH($F22,[1]Matches!$B$4:$B$113,0),8)</f>
        <v>Saudi Arabia</v>
      </c>
      <c r="E22" s="37" t="str">
        <f>INDEX([1]Matches!$B$4:$J$113,MATCH($F22,[1]Matches!$B$4:$B$113,0),9)</f>
        <v>Uruguay</v>
      </c>
      <c r="F22" s="27">
        <v>13</v>
      </c>
      <c r="G22" s="26" t="str">
        <f>INDEX([1]Matches!$B$4:$J$113,MATCH($F22,[1]Matches!$B$4:$B$113,0),2)</f>
        <v>H3</v>
      </c>
      <c r="H22" s="26" t="str">
        <f>INDEX([1]Matches!$B$4:$J$113,MATCH($F22,[1]Matches!$B$4:$B$113,0),3)</f>
        <v>H4</v>
      </c>
      <c r="I22" s="26" t="str">
        <f>IFERROR(VLOOKUP($F22,[1]Matches!$B$4:$H$113,7,0),"")</f>
        <v>Miami</v>
      </c>
      <c r="J22" s="25"/>
      <c r="K22" s="24"/>
    </row>
    <row r="23" spans="2:11" x14ac:dyDescent="0.35">
      <c r="B23" s="23">
        <f>INDEX([1]Matches!$B$4:$J$113,MATCH($F23,[1]Matches!$B$4:$B$113,0),5)</f>
        <v>46189.125</v>
      </c>
      <c r="C23" s="22">
        <f>INDEX([1]Matches!$B$4:$J$113,MATCH($F23,[1]Matches!$B$4:$B$113,0),5)</f>
        <v>46189.125</v>
      </c>
      <c r="D23" s="41" t="str">
        <f>INDEX([1]Matches!$B$4:$J$113,MATCH($F23,[1]Matches!$B$4:$B$113,0),8)</f>
        <v>IR Iran</v>
      </c>
      <c r="E23" s="41" t="str">
        <f>INDEX([1]Matches!$B$4:$J$113,MATCH($F23,[1]Matches!$B$4:$B$113,0),9)</f>
        <v>New Zealand</v>
      </c>
      <c r="F23" s="20">
        <v>15</v>
      </c>
      <c r="G23" s="19" t="str">
        <f>INDEX([1]Matches!$B$4:$J$113,MATCH($F23,[1]Matches!$B$4:$B$113,0),2)</f>
        <v>G3</v>
      </c>
      <c r="H23" s="19" t="str">
        <f>INDEX([1]Matches!$B$4:$J$113,MATCH($F23,[1]Matches!$B$4:$B$113,0),3)</f>
        <v>G4</v>
      </c>
      <c r="I23" s="19" t="str">
        <f>IFERROR(VLOOKUP($F23,[1]Matches!$B$4:$H$113,7,0),"")</f>
        <v>Los Angeles</v>
      </c>
      <c r="J23" s="25"/>
      <c r="K23" s="24"/>
    </row>
    <row r="24" spans="2:11" x14ac:dyDescent="0.35">
      <c r="B24" s="23"/>
      <c r="C24" s="22"/>
      <c r="D24" s="21"/>
      <c r="E24" s="21"/>
      <c r="F24" s="20"/>
      <c r="G24" s="19"/>
      <c r="H24" s="19"/>
      <c r="I24" s="19"/>
      <c r="J24" s="19"/>
      <c r="K24" s="18"/>
    </row>
    <row r="25" spans="2:11" x14ac:dyDescent="0.35">
      <c r="B25" s="30">
        <f>INDEX([1]Matches!$B$4:$J$113,MATCH($F25,[1]Matches!$B$4:$B$113,0),5)</f>
        <v>46189.875</v>
      </c>
      <c r="C25" s="29">
        <f>INDEX([1]Matches!$B$4:$J$113,MATCH($F25,[1]Matches!$B$4:$B$113,0),5)</f>
        <v>46189.875</v>
      </c>
      <c r="D25" s="37" t="str">
        <f>INDEX([1]Matches!$B$4:$J$113,MATCH($F25,[1]Matches!$B$4:$B$113,0),8)</f>
        <v>France</v>
      </c>
      <c r="E25" s="37" t="str">
        <f>INDEX([1]Matches!$B$4:$J$113,MATCH($F25,[1]Matches!$B$4:$B$113,0),9)</f>
        <v>Senegal</v>
      </c>
      <c r="F25" s="27">
        <v>17</v>
      </c>
      <c r="G25" s="26" t="str">
        <f>INDEX([1]Matches!$B$4:$J$113,MATCH($F25,[1]Matches!$B$4:$B$113,0),2)</f>
        <v>I1</v>
      </c>
      <c r="H25" s="26" t="str">
        <f>INDEX([1]Matches!$B$4:$J$113,MATCH($F25,[1]Matches!$B$4:$B$113,0),3)</f>
        <v>I2</v>
      </c>
      <c r="I25" s="26" t="str">
        <f>IFERROR(VLOOKUP($F25,[1]Matches!$B$4:$H$113,7,0),"")</f>
        <v>New York/New Jersey</v>
      </c>
      <c r="J25" s="25"/>
      <c r="K25" s="24"/>
    </row>
    <row r="26" spans="2:11" x14ac:dyDescent="0.35">
      <c r="B26" s="30">
        <f>INDEX([1]Matches!$B$4:$J$113,MATCH($F26,[1]Matches!$B$4:$B$113,0),5)</f>
        <v>46190</v>
      </c>
      <c r="C26" s="29">
        <f>INDEX([1]Matches!$B$4:$J$113,MATCH($F26,[1]Matches!$B$4:$B$113,0),5)</f>
        <v>46190</v>
      </c>
      <c r="D26" s="37" t="str">
        <f>INDEX([1]Matches!$B$4:$J$113,MATCH($F26,[1]Matches!$B$4:$B$113,0),8)</f>
        <v>Iraq</v>
      </c>
      <c r="E26" s="37" t="str">
        <f>INDEX([1]Matches!$B$4:$J$113,MATCH($F26,[1]Matches!$B$4:$B$113,0),9)</f>
        <v>Norway</v>
      </c>
      <c r="F26" s="27">
        <v>18</v>
      </c>
      <c r="G26" s="26" t="str">
        <f>INDEX([1]Matches!$B$4:$J$113,MATCH($F26,[1]Matches!$B$4:$B$113,0),2)</f>
        <v>I3</v>
      </c>
      <c r="H26" s="26" t="str">
        <f>INDEX([1]Matches!$B$4:$J$113,MATCH($F26,[1]Matches!$B$4:$B$113,0),3)</f>
        <v>I4</v>
      </c>
      <c r="I26" s="26" t="str">
        <f>IFERROR(VLOOKUP($F26,[1]Matches!$B$4:$H$113,7,0),"")</f>
        <v>Boston</v>
      </c>
      <c r="J26" s="25"/>
      <c r="K26" s="24"/>
    </row>
    <row r="27" spans="2:11" x14ac:dyDescent="0.35">
      <c r="B27" s="30">
        <f>INDEX([1]Matches!$B$4:$J$113,MATCH($F27,[1]Matches!$B$4:$B$113,0),5)</f>
        <v>46190.125</v>
      </c>
      <c r="C27" s="29">
        <f>INDEX([1]Matches!$B$4:$J$113,MATCH($F27,[1]Matches!$B$4:$B$113,0),5)</f>
        <v>46190.125</v>
      </c>
      <c r="D27" s="37" t="str">
        <f>INDEX([1]Matches!$B$4:$J$113,MATCH($F27,[1]Matches!$B$4:$B$113,0),8)</f>
        <v>Argentina</v>
      </c>
      <c r="E27" s="37" t="str">
        <f>INDEX([1]Matches!$B$4:$J$113,MATCH($F27,[1]Matches!$B$4:$B$113,0),9)</f>
        <v>Algeria</v>
      </c>
      <c r="F27" s="27">
        <v>19</v>
      </c>
      <c r="G27" s="26" t="str">
        <f>INDEX([1]Matches!$B$4:$J$113,MATCH($F27,[1]Matches!$B$4:$B$113,0),2)</f>
        <v>J1</v>
      </c>
      <c r="H27" s="26" t="str">
        <f>INDEX([1]Matches!$B$4:$J$113,MATCH($F27,[1]Matches!$B$4:$B$113,0),3)</f>
        <v>J2</v>
      </c>
      <c r="I27" s="26" t="str">
        <f>IFERROR(VLOOKUP($F27,[1]Matches!$B$4:$H$113,7,0),"")</f>
        <v>Kansas City</v>
      </c>
      <c r="J27" s="25"/>
      <c r="K27" s="24"/>
    </row>
    <row r="28" spans="2:11" x14ac:dyDescent="0.35">
      <c r="B28" s="30">
        <f>INDEX([1]Matches!$B$4:$J$113,MATCH($F28,[1]Matches!$B$4:$B$113,0),5)</f>
        <v>46190.25</v>
      </c>
      <c r="C28" s="29">
        <f>INDEX([1]Matches!$B$4:$J$113,MATCH($F28,[1]Matches!$B$4:$B$113,0),5)</f>
        <v>46190.25</v>
      </c>
      <c r="D28" s="37" t="str">
        <f>INDEX([1]Matches!$B$4:$J$113,MATCH($F28,[1]Matches!$B$4:$B$113,0),8)</f>
        <v>Austria</v>
      </c>
      <c r="E28" s="37" t="str">
        <f>INDEX([1]Matches!$B$4:$J$113,MATCH($F28,[1]Matches!$B$4:$B$113,0),9)</f>
        <v>Jordan</v>
      </c>
      <c r="F28" s="27">
        <v>20</v>
      </c>
      <c r="G28" s="26" t="str">
        <f>INDEX([1]Matches!$B$4:$J$113,MATCH($F28,[1]Matches!$B$4:$B$113,0),2)</f>
        <v>J3</v>
      </c>
      <c r="H28" s="26" t="str">
        <f>INDEX([1]Matches!$B$4:$J$113,MATCH($F28,[1]Matches!$B$4:$B$113,0),3)</f>
        <v>J4</v>
      </c>
      <c r="I28" s="26" t="str">
        <f>IFERROR(VLOOKUP($F28,[1]Matches!$B$4:$H$113,7,0),"")</f>
        <v>San Francisco Bay Area</v>
      </c>
      <c r="J28" s="25"/>
      <c r="K28" s="24"/>
    </row>
    <row r="29" spans="2:11" x14ac:dyDescent="0.35">
      <c r="B29" s="23"/>
      <c r="C29" s="22"/>
      <c r="D29" s="21"/>
      <c r="E29" s="21"/>
      <c r="F29" s="20"/>
      <c r="G29" s="19"/>
      <c r="H29" s="19"/>
      <c r="I29" s="19"/>
      <c r="J29" s="19"/>
      <c r="K29" s="18"/>
    </row>
    <row r="30" spans="2:11" x14ac:dyDescent="0.35">
      <c r="B30" s="30">
        <f>INDEX([1]Matches!$B$4:$J$113,MATCH($F30,[1]Matches!$B$4:$B$113,0),5)</f>
        <v>46190.791666666664</v>
      </c>
      <c r="C30" s="29">
        <f>INDEX([1]Matches!$B$4:$J$113,MATCH($F30,[1]Matches!$B$4:$B$113,0),5)</f>
        <v>46190.791666666664</v>
      </c>
      <c r="D30" s="37" t="str">
        <f>INDEX([1]Matches!$B$4:$J$113,MATCH($F30,[1]Matches!$B$4:$B$113,0),8)</f>
        <v>Portugal</v>
      </c>
      <c r="E30" s="37" t="str">
        <f>INDEX([1]Matches!$B$4:$J$113,MATCH($F30,[1]Matches!$B$4:$B$113,0),9)</f>
        <v>DR Congo</v>
      </c>
      <c r="F30" s="27">
        <v>23</v>
      </c>
      <c r="G30" s="26" t="str">
        <f>INDEX([1]Matches!$B$4:$J$113,MATCH($F30,[1]Matches!$B$4:$B$113,0),2)</f>
        <v>K1</v>
      </c>
      <c r="H30" s="26" t="str">
        <f>INDEX([1]Matches!$B$4:$J$113,MATCH($F30,[1]Matches!$B$4:$B$113,0),3)</f>
        <v>K2</v>
      </c>
      <c r="I30" s="26" t="str">
        <f>IFERROR(VLOOKUP($F30,[1]Matches!$B$4:$H$113,7,0),"")</f>
        <v>Houston</v>
      </c>
      <c r="J30" s="25"/>
      <c r="K30" s="24"/>
    </row>
    <row r="31" spans="2:11" x14ac:dyDescent="0.35">
      <c r="B31" s="30">
        <f>INDEX([1]Matches!$B$4:$J$113,MATCH($F31,[1]Matches!$B$4:$B$113,0),5)</f>
        <v>46190.916666666664</v>
      </c>
      <c r="C31" s="29">
        <f>INDEX([1]Matches!$B$4:$J$113,MATCH($F31,[1]Matches!$B$4:$B$113,0),5)</f>
        <v>46190.916666666664</v>
      </c>
      <c r="D31" s="37" t="str">
        <f>INDEX([1]Matches!$B$4:$J$113,MATCH($F31,[1]Matches!$B$4:$B$113,0),8)</f>
        <v>England</v>
      </c>
      <c r="E31" s="37" t="str">
        <f>INDEX([1]Matches!$B$4:$J$113,MATCH($F31,[1]Matches!$B$4:$B$113,0),9)</f>
        <v>Croatia</v>
      </c>
      <c r="F31" s="27">
        <v>22</v>
      </c>
      <c r="G31" s="26" t="str">
        <f>INDEX([1]Matches!$B$4:$J$113,MATCH($F31,[1]Matches!$B$4:$B$113,0),2)</f>
        <v>L1</v>
      </c>
      <c r="H31" s="26" t="str">
        <f>INDEX([1]Matches!$B$4:$J$113,MATCH($F31,[1]Matches!$B$4:$B$113,0),3)</f>
        <v>L2</v>
      </c>
      <c r="I31" s="26" t="str">
        <f>IFERROR(VLOOKUP($F31,[1]Matches!$B$4:$H$113,7,0),"")</f>
        <v>Dallas</v>
      </c>
      <c r="J31" s="25"/>
      <c r="K31" s="24"/>
    </row>
    <row r="32" spans="2:11" x14ac:dyDescent="0.35">
      <c r="B32" s="30">
        <f>INDEX([1]Matches!$B$4:$J$113,MATCH($F32,[1]Matches!$B$4:$B$113,0),5)</f>
        <v>46191.041666666664</v>
      </c>
      <c r="C32" s="29">
        <f>INDEX([1]Matches!$B$4:$J$113,MATCH($F32,[1]Matches!$B$4:$B$113,0),5)</f>
        <v>46191.041666666664</v>
      </c>
      <c r="D32" s="37" t="str">
        <f>INDEX([1]Matches!$B$4:$J$113,MATCH($F32,[1]Matches!$B$4:$B$113,0),8)</f>
        <v>Ghana</v>
      </c>
      <c r="E32" s="37" t="str">
        <f>INDEX([1]Matches!$B$4:$J$113,MATCH($F32,[1]Matches!$B$4:$B$113,0),9)</f>
        <v>Panama</v>
      </c>
      <c r="F32" s="27">
        <v>21</v>
      </c>
      <c r="G32" s="26" t="str">
        <f>INDEX([1]Matches!$B$4:$J$113,MATCH($F32,[1]Matches!$B$4:$B$113,0),2)</f>
        <v>L3</v>
      </c>
      <c r="H32" s="26" t="str">
        <f>INDEX([1]Matches!$B$4:$J$113,MATCH($F32,[1]Matches!$B$4:$B$113,0),3)</f>
        <v>L4</v>
      </c>
      <c r="I32" s="26" t="str">
        <f>IFERROR(VLOOKUP($F32,[1]Matches!$B$4:$H$113,7,0),"")</f>
        <v>Toronto</v>
      </c>
      <c r="J32" s="25"/>
      <c r="K32" s="24"/>
    </row>
    <row r="33" spans="2:11" x14ac:dyDescent="0.35">
      <c r="B33" s="30">
        <f>INDEX([1]Matches!$B$4:$J$113,MATCH($F33,[1]Matches!$B$4:$B$113,0),5)</f>
        <v>46191.166666666664</v>
      </c>
      <c r="C33" s="29">
        <f>INDEX([1]Matches!$B$4:$J$113,MATCH($F33,[1]Matches!$B$4:$B$113,0),5)</f>
        <v>46191.166666666664</v>
      </c>
      <c r="D33" s="37" t="str">
        <f>INDEX([1]Matches!$B$4:$J$113,MATCH($F33,[1]Matches!$B$4:$B$113,0),8)</f>
        <v>Uzbekistan</v>
      </c>
      <c r="E33" s="37" t="str">
        <f>INDEX([1]Matches!$B$4:$J$113,MATCH($F33,[1]Matches!$B$4:$B$113,0),9)</f>
        <v>Colombia</v>
      </c>
      <c r="F33" s="27">
        <v>24</v>
      </c>
      <c r="G33" s="26" t="str">
        <f>INDEX([1]Matches!$B$4:$J$113,MATCH($F33,[1]Matches!$B$4:$B$113,0),2)</f>
        <v>K3</v>
      </c>
      <c r="H33" s="26" t="str">
        <f>INDEX([1]Matches!$B$4:$J$113,MATCH($F33,[1]Matches!$B$4:$B$113,0),3)</f>
        <v>K4</v>
      </c>
      <c r="I33" s="26" t="str">
        <f>IFERROR(VLOOKUP($F33,[1]Matches!$B$4:$H$113,7,0),"")</f>
        <v>Mexico City</v>
      </c>
      <c r="J33" s="25"/>
      <c r="K33" s="24"/>
    </row>
    <row r="34" spans="2:11" x14ac:dyDescent="0.35">
      <c r="B34" s="23"/>
      <c r="C34" s="22"/>
      <c r="D34" s="21"/>
      <c r="E34" s="21"/>
      <c r="F34" s="20"/>
      <c r="G34" s="19"/>
      <c r="H34" s="19"/>
      <c r="I34" s="19"/>
      <c r="J34" s="19"/>
      <c r="K34" s="18"/>
    </row>
    <row r="35" spans="2:11" x14ac:dyDescent="0.35">
      <c r="B35" s="30">
        <f>INDEX([1]Matches!$B$4:$J$113,MATCH($F35,[1]Matches!$B$4:$B$113,0),5)</f>
        <v>46191.75</v>
      </c>
      <c r="C35" s="29">
        <f>INDEX([1]Matches!$B$4:$J$113,MATCH($F35,[1]Matches!$B$4:$B$113,0),5)</f>
        <v>46191.75</v>
      </c>
      <c r="D35" s="37" t="str">
        <f>INDEX([1]Matches!$B$4:$J$113,MATCH($F35,[1]Matches!$B$4:$B$113,0),8)</f>
        <v>Czech Rep.</v>
      </c>
      <c r="E35" s="37" t="str">
        <f>INDEX([1]Matches!$B$4:$J$113,MATCH($F35,[1]Matches!$B$4:$B$113,0),9)</f>
        <v>South Africa</v>
      </c>
      <c r="F35" s="27">
        <v>25</v>
      </c>
      <c r="G35" s="26" t="str">
        <f>INDEX([1]Matches!$B$4:$J$113,MATCH($F35,[1]Matches!$B$4:$B$113,0),2)</f>
        <v>A4</v>
      </c>
      <c r="H35" s="26" t="str">
        <f>INDEX([1]Matches!$B$4:$J$113,MATCH($F35,[1]Matches!$B$4:$B$113,0),3)</f>
        <v>A2</v>
      </c>
      <c r="I35" s="26" t="str">
        <f>IFERROR(VLOOKUP($F35,[1]Matches!$B$4:$H$113,7,0),"")</f>
        <v>Atlanta</v>
      </c>
      <c r="J35" s="25"/>
      <c r="K35" s="24"/>
    </row>
    <row r="36" spans="2:11" x14ac:dyDescent="0.35">
      <c r="B36" s="30">
        <f>INDEX([1]Matches!$B$4:$J$113,MATCH($F36,[1]Matches!$B$4:$B$113,0),5)</f>
        <v>46191.875</v>
      </c>
      <c r="C36" s="29">
        <f>INDEX([1]Matches!$B$4:$J$113,MATCH($F36,[1]Matches!$B$4:$B$113,0),5)</f>
        <v>46191.875</v>
      </c>
      <c r="D36" s="37" t="str">
        <f>INDEX([1]Matches!$B$4:$J$113,MATCH($F36,[1]Matches!$B$4:$B$113,0),8)</f>
        <v>Switzerland</v>
      </c>
      <c r="E36" s="37" t="str">
        <f>INDEX([1]Matches!$B$4:$J$113,MATCH($F36,[1]Matches!$B$4:$B$113,0),9)</f>
        <v>Bosnia/Herzeg.</v>
      </c>
      <c r="F36" s="27">
        <v>26</v>
      </c>
      <c r="G36" s="26" t="str">
        <f>INDEX([1]Matches!$B$4:$J$113,MATCH($F36,[1]Matches!$B$4:$B$113,0),2)</f>
        <v>B4</v>
      </c>
      <c r="H36" s="26" t="str">
        <f>INDEX([1]Matches!$B$4:$J$113,MATCH($F36,[1]Matches!$B$4:$B$113,0),3)</f>
        <v>B2</v>
      </c>
      <c r="I36" s="26" t="str">
        <f>IFERROR(VLOOKUP($F36,[1]Matches!$B$4:$H$113,7,0),"")</f>
        <v>Los Angeles</v>
      </c>
      <c r="J36" s="25"/>
      <c r="K36" s="24"/>
    </row>
    <row r="37" spans="2:11" x14ac:dyDescent="0.35">
      <c r="B37" s="30">
        <f>INDEX([1]Matches!$B$4:$J$113,MATCH($F37,[1]Matches!$B$4:$B$113,0),5)</f>
        <v>46192</v>
      </c>
      <c r="C37" s="29">
        <f>INDEX([1]Matches!$B$4:$J$113,MATCH($F37,[1]Matches!$B$4:$B$113,0),5)</f>
        <v>46192</v>
      </c>
      <c r="D37" s="37" t="str">
        <f>INDEX([1]Matches!$B$4:$J$113,MATCH($F37,[1]Matches!$B$4:$B$113,0),8)</f>
        <v>Canada</v>
      </c>
      <c r="E37" s="37" t="str">
        <f>INDEX([1]Matches!$B$4:$J$113,MATCH($F37,[1]Matches!$B$4:$B$113,0),9)</f>
        <v>Qatar</v>
      </c>
      <c r="F37" s="27">
        <v>27</v>
      </c>
      <c r="G37" s="26" t="str">
        <f>INDEX([1]Matches!$B$4:$J$113,MATCH($F37,[1]Matches!$B$4:$B$113,0),2)</f>
        <v>B1</v>
      </c>
      <c r="H37" s="26" t="str">
        <f>INDEX([1]Matches!$B$4:$J$113,MATCH($F37,[1]Matches!$B$4:$B$113,0),3)</f>
        <v>B3</v>
      </c>
      <c r="I37" s="26" t="str">
        <f>IFERROR(VLOOKUP($F37,[1]Matches!$B$4:$H$113,7,0),"")</f>
        <v>Vancouver</v>
      </c>
      <c r="J37" s="25"/>
      <c r="K37" s="24"/>
    </row>
    <row r="38" spans="2:11" x14ac:dyDescent="0.35">
      <c r="B38" s="30">
        <f>INDEX([1]Matches!$B$4:$J$113,MATCH($F38,[1]Matches!$B$4:$B$113,0),5)</f>
        <v>46192.125</v>
      </c>
      <c r="C38" s="29">
        <f>INDEX([1]Matches!$B$4:$J$113,MATCH($F38,[1]Matches!$B$4:$B$113,0),5)</f>
        <v>46192.125</v>
      </c>
      <c r="D38" s="37" t="str">
        <f>INDEX([1]Matches!$B$4:$J$113,MATCH($F38,[1]Matches!$B$4:$B$113,0),8)</f>
        <v>Mexico</v>
      </c>
      <c r="E38" s="37" t="str">
        <f>INDEX([1]Matches!$B$4:$J$113,MATCH($F38,[1]Matches!$B$4:$B$113,0),9)</f>
        <v>Rep. of Korea</v>
      </c>
      <c r="F38" s="27">
        <v>28</v>
      </c>
      <c r="G38" s="26" t="str">
        <f>INDEX([1]Matches!$B$4:$J$113,MATCH($F38,[1]Matches!$B$4:$B$113,0),2)</f>
        <v>A1</v>
      </c>
      <c r="H38" s="26" t="str">
        <f>INDEX([1]Matches!$B$4:$J$113,MATCH($F38,[1]Matches!$B$4:$B$113,0),3)</f>
        <v>A3</v>
      </c>
      <c r="I38" s="26" t="str">
        <f>IFERROR(VLOOKUP($F38,[1]Matches!$B$4:$H$113,7,0),"")</f>
        <v>Guadalajara</v>
      </c>
      <c r="J38" s="25"/>
      <c r="K38" s="24"/>
    </row>
    <row r="39" spans="2:11" x14ac:dyDescent="0.35">
      <c r="B39" s="23"/>
      <c r="C39" s="22"/>
      <c r="D39" s="21"/>
      <c r="E39" s="21"/>
      <c r="F39" s="20"/>
      <c r="G39" s="19"/>
      <c r="H39" s="19"/>
      <c r="I39" s="19"/>
      <c r="J39" s="19"/>
      <c r="K39" s="18"/>
    </row>
    <row r="40" spans="2:11" x14ac:dyDescent="0.35">
      <c r="B40" s="30">
        <f>INDEX([1]Matches!$B$4:$J$113,MATCH($F40,[1]Matches!$B$4:$B$113,0),5)</f>
        <v>46192.875</v>
      </c>
      <c r="C40" s="29">
        <f>INDEX([1]Matches!$B$4:$J$113,MATCH($F40,[1]Matches!$B$4:$B$113,0),5)</f>
        <v>46192.875</v>
      </c>
      <c r="D40" s="37" t="str">
        <f>INDEX([1]Matches!$B$4:$J$113,MATCH($F40,[1]Matches!$B$4:$B$113,0),8)</f>
        <v>USA</v>
      </c>
      <c r="E40" s="37" t="str">
        <f>INDEX([1]Matches!$B$4:$J$113,MATCH($F40,[1]Matches!$B$4:$B$113,0),9)</f>
        <v>Australia</v>
      </c>
      <c r="F40" s="27">
        <v>32</v>
      </c>
      <c r="G40" s="26" t="str">
        <f>INDEX([1]Matches!$B$4:$J$113,MATCH($F40,[1]Matches!$B$4:$B$113,0),2)</f>
        <v>D1</v>
      </c>
      <c r="H40" s="26" t="str">
        <f>INDEX([1]Matches!$B$4:$J$113,MATCH($F40,[1]Matches!$B$4:$B$113,0),3)</f>
        <v>D3</v>
      </c>
      <c r="I40" s="26" t="str">
        <f>IFERROR(VLOOKUP($F40,[1]Matches!$B$4:$H$113,7,0),"")</f>
        <v>Seattle</v>
      </c>
      <c r="J40" s="25"/>
      <c r="K40" s="24"/>
    </row>
    <row r="41" spans="2:11" x14ac:dyDescent="0.35">
      <c r="B41" s="30">
        <f>INDEX([1]Matches!$B$4:$J$113,MATCH($F41,[1]Matches!$B$4:$B$113,0),5)</f>
        <v>46193</v>
      </c>
      <c r="C41" s="29">
        <f>INDEX([1]Matches!$B$4:$J$113,MATCH($F41,[1]Matches!$B$4:$B$113,0),5)</f>
        <v>46193</v>
      </c>
      <c r="D41" s="37" t="str">
        <f>INDEX([1]Matches!$B$4:$J$113,MATCH($F41,[1]Matches!$B$4:$B$113,0),8)</f>
        <v>Scotland</v>
      </c>
      <c r="E41" s="37" t="str">
        <f>INDEX([1]Matches!$B$4:$J$113,MATCH($F41,[1]Matches!$B$4:$B$113,0),9)</f>
        <v>Morocco</v>
      </c>
      <c r="F41" s="27">
        <v>30</v>
      </c>
      <c r="G41" s="26" t="str">
        <f>INDEX([1]Matches!$B$4:$J$113,MATCH($F41,[1]Matches!$B$4:$B$113,0),2)</f>
        <v>C4</v>
      </c>
      <c r="H41" s="26" t="str">
        <f>INDEX([1]Matches!$B$4:$J$113,MATCH($F41,[1]Matches!$B$4:$B$113,0),3)</f>
        <v>C2</v>
      </c>
      <c r="I41" s="26" t="str">
        <f>IFERROR(VLOOKUP($F41,[1]Matches!$B$4:$H$113,7,0),"")</f>
        <v>Boston</v>
      </c>
      <c r="J41" s="25"/>
      <c r="K41" s="24"/>
    </row>
    <row r="42" spans="2:11" x14ac:dyDescent="0.35">
      <c r="B42" s="30">
        <f>INDEX([1]Matches!$B$4:$J$113,MATCH($F42,[1]Matches!$B$4:$B$113,0),5)</f>
        <v>46193.104166666664</v>
      </c>
      <c r="C42" s="29">
        <f>INDEX([1]Matches!$B$4:$J$113,MATCH($F42,[1]Matches!$B$4:$B$113,0),5)</f>
        <v>46193.104166666664</v>
      </c>
      <c r="D42" s="37" t="str">
        <f>INDEX([1]Matches!$B$4:$J$113,MATCH($F42,[1]Matches!$B$4:$B$113,0),8)</f>
        <v>Brazil</v>
      </c>
      <c r="E42" s="37" t="str">
        <f>INDEX([1]Matches!$B$4:$J$113,MATCH($F42,[1]Matches!$B$4:$B$113,0),9)</f>
        <v>Haiti</v>
      </c>
      <c r="F42" s="27">
        <v>29</v>
      </c>
      <c r="G42" s="26" t="str">
        <f>INDEX([1]Matches!$B$4:$J$113,MATCH($F42,[1]Matches!$B$4:$B$113,0),2)</f>
        <v>C1</v>
      </c>
      <c r="H42" s="26" t="str">
        <f>INDEX([1]Matches!$B$4:$J$113,MATCH($F42,[1]Matches!$B$4:$B$113,0),3)</f>
        <v>C3</v>
      </c>
      <c r="I42" s="26" t="str">
        <f>IFERROR(VLOOKUP($F42,[1]Matches!$B$4:$H$113,7,0),"")</f>
        <v>Philadelphia</v>
      </c>
      <c r="J42" s="25"/>
      <c r="K42" s="24"/>
    </row>
    <row r="43" spans="2:11" x14ac:dyDescent="0.35">
      <c r="B43" s="30">
        <f>INDEX([1]Matches!$B$4:$J$113,MATCH($F43,[1]Matches!$B$4:$B$113,0),5)</f>
        <v>46193.208333333336</v>
      </c>
      <c r="C43" s="29">
        <f>INDEX([1]Matches!$B$4:$J$113,MATCH($F43,[1]Matches!$B$4:$B$113,0),5)</f>
        <v>46193.208333333336</v>
      </c>
      <c r="D43" s="37" t="str">
        <f>INDEX([1]Matches!$B$4:$J$113,MATCH($F43,[1]Matches!$B$4:$B$113,0),8)</f>
        <v>Turkey</v>
      </c>
      <c r="E43" s="37" t="str">
        <f>INDEX([1]Matches!$B$4:$J$113,MATCH($F43,[1]Matches!$B$4:$B$113,0),9)</f>
        <v>Paraguay</v>
      </c>
      <c r="F43" s="27">
        <v>31</v>
      </c>
      <c r="G43" s="26" t="str">
        <f>INDEX([1]Matches!$B$4:$J$113,MATCH($F43,[1]Matches!$B$4:$B$113,0),2)</f>
        <v>D4</v>
      </c>
      <c r="H43" s="26" t="str">
        <f>INDEX([1]Matches!$B$4:$J$113,MATCH($F43,[1]Matches!$B$4:$B$113,0),3)</f>
        <v>D2</v>
      </c>
      <c r="I43" s="26" t="str">
        <f>IFERROR(VLOOKUP($F43,[1]Matches!$B$4:$H$113,7,0),"")</f>
        <v>San Francisco Bay Area</v>
      </c>
      <c r="J43" s="25"/>
      <c r="K43" s="24"/>
    </row>
    <row r="44" spans="2:11" x14ac:dyDescent="0.35">
      <c r="B44" s="23"/>
      <c r="C44" s="22"/>
      <c r="D44" s="21"/>
      <c r="E44" s="21"/>
      <c r="F44" s="20"/>
      <c r="G44" s="19"/>
      <c r="H44" s="19"/>
      <c r="I44" s="19"/>
      <c r="J44" s="19"/>
      <c r="K44" s="18"/>
    </row>
    <row r="45" spans="2:11" x14ac:dyDescent="0.35">
      <c r="B45" s="30">
        <f>INDEX([1]Matches!$B$4:$J$113,MATCH($F45,[1]Matches!$B$4:$B$113,0),5)</f>
        <v>46193.791666666664</v>
      </c>
      <c r="C45" s="29">
        <f>INDEX([1]Matches!$B$4:$J$113,MATCH($F45,[1]Matches!$B$4:$B$113,0),5)</f>
        <v>46193.791666666664</v>
      </c>
      <c r="D45" s="37" t="str">
        <f>INDEX([1]Matches!$B$4:$J$113,MATCH($F45,[1]Matches!$B$4:$B$113,0),8)</f>
        <v>Netherlands</v>
      </c>
      <c r="E45" s="37" t="str">
        <f>INDEX([1]Matches!$B$4:$J$113,MATCH($F45,[1]Matches!$B$4:$B$113,0),9)</f>
        <v>Sweden</v>
      </c>
      <c r="F45" s="27">
        <v>35</v>
      </c>
      <c r="G45" s="26" t="str">
        <f>INDEX([1]Matches!$B$4:$J$113,MATCH($F45,[1]Matches!$B$4:$B$113,0),2)</f>
        <v>F1</v>
      </c>
      <c r="H45" s="26" t="str">
        <f>INDEX([1]Matches!$B$4:$J$113,MATCH($F45,[1]Matches!$B$4:$B$113,0),3)</f>
        <v>F3</v>
      </c>
      <c r="I45" s="26" t="str">
        <f>IFERROR(VLOOKUP($F45,[1]Matches!$B$4:$H$113,7,0),"")</f>
        <v>Houston</v>
      </c>
      <c r="J45" s="25"/>
      <c r="K45" s="24"/>
    </row>
    <row r="46" spans="2:11" x14ac:dyDescent="0.35">
      <c r="B46" s="30">
        <f>INDEX([1]Matches!$B$4:$J$113,MATCH($F46,[1]Matches!$B$4:$B$113,0),5)</f>
        <v>46193.916666666664</v>
      </c>
      <c r="C46" s="29">
        <f>INDEX([1]Matches!$B$4:$J$113,MATCH($F46,[1]Matches!$B$4:$B$113,0),5)</f>
        <v>46193.916666666664</v>
      </c>
      <c r="D46" s="37" t="str">
        <f>INDEX([1]Matches!$B$4:$J$113,MATCH($F46,[1]Matches!$B$4:$B$113,0),8)</f>
        <v>Germany</v>
      </c>
      <c r="E46" s="37" t="str">
        <f>INDEX([1]Matches!$B$4:$J$113,MATCH($F46,[1]Matches!$B$4:$B$113,0),9)</f>
        <v>Ivory Coast</v>
      </c>
      <c r="F46" s="27">
        <v>33</v>
      </c>
      <c r="G46" s="26" t="str">
        <f>INDEX([1]Matches!$B$4:$J$113,MATCH($F46,[1]Matches!$B$4:$B$113,0),2)</f>
        <v>E1</v>
      </c>
      <c r="H46" s="26" t="str">
        <f>INDEX([1]Matches!$B$4:$J$113,MATCH($F46,[1]Matches!$B$4:$B$113,0),3)</f>
        <v>E3</v>
      </c>
      <c r="I46" s="26" t="str">
        <f>IFERROR(VLOOKUP($F46,[1]Matches!$B$4:$H$113,7,0),"")</f>
        <v>Toronto</v>
      </c>
      <c r="J46" s="25"/>
      <c r="K46" s="24"/>
    </row>
    <row r="47" spans="2:11" x14ac:dyDescent="0.35">
      <c r="B47" s="30">
        <f>INDEX([1]Matches!$B$4:$J$113,MATCH($F47,[1]Matches!$B$4:$B$113,0),5)</f>
        <v>46194.083333333336</v>
      </c>
      <c r="C47" s="29">
        <f>INDEX([1]Matches!$B$4:$J$113,MATCH($F47,[1]Matches!$B$4:$B$113,0),5)</f>
        <v>46194.083333333336</v>
      </c>
      <c r="D47" s="37" t="str">
        <f>INDEX([1]Matches!$B$4:$J$113,MATCH($F47,[1]Matches!$B$4:$B$113,0),8)</f>
        <v>Ecuador</v>
      </c>
      <c r="E47" s="37" t="str">
        <f>INDEX([1]Matches!$B$4:$J$113,MATCH($F47,[1]Matches!$B$4:$B$113,0),9)</f>
        <v>Curaçao</v>
      </c>
      <c r="F47" s="27">
        <v>34</v>
      </c>
      <c r="G47" s="26" t="str">
        <f>INDEX([1]Matches!$B$4:$J$113,MATCH($F47,[1]Matches!$B$4:$B$113,0),2)</f>
        <v>E4</v>
      </c>
      <c r="H47" s="26" t="str">
        <f>INDEX([1]Matches!$B$4:$J$113,MATCH($F47,[1]Matches!$B$4:$B$113,0),3)</f>
        <v>E2</v>
      </c>
      <c r="I47" s="26" t="str">
        <f>IFERROR(VLOOKUP($F47,[1]Matches!$B$4:$H$113,7,0),"")</f>
        <v>Kansas City</v>
      </c>
      <c r="J47" s="25"/>
      <c r="K47" s="24"/>
    </row>
    <row r="48" spans="2:11" x14ac:dyDescent="0.35">
      <c r="B48" s="30">
        <f>INDEX([1]Matches!$B$4:$J$113,MATCH($F48,[1]Matches!$B$4:$B$113,0),5)</f>
        <v>46194.25</v>
      </c>
      <c r="C48" s="29">
        <f>INDEX([1]Matches!$B$4:$J$113,MATCH($F48,[1]Matches!$B$4:$B$113,0),5)</f>
        <v>46194.25</v>
      </c>
      <c r="D48" s="37" t="str">
        <f>INDEX([1]Matches!$B$4:$J$113,MATCH($F48,[1]Matches!$B$4:$B$113,0),8)</f>
        <v>Tunisia</v>
      </c>
      <c r="E48" s="37" t="str">
        <f>INDEX([1]Matches!$B$4:$J$113,MATCH($F48,[1]Matches!$B$4:$B$113,0),9)</f>
        <v>Japan</v>
      </c>
      <c r="F48" s="27">
        <v>36</v>
      </c>
      <c r="G48" s="26" t="str">
        <f>INDEX([1]Matches!$B$4:$J$113,MATCH($F48,[1]Matches!$B$4:$B$113,0),2)</f>
        <v>F4</v>
      </c>
      <c r="H48" s="26" t="str">
        <f>INDEX([1]Matches!$B$4:$J$113,MATCH($F48,[1]Matches!$B$4:$B$113,0),3)</f>
        <v>F2</v>
      </c>
      <c r="I48" s="26" t="str">
        <f>IFERROR(VLOOKUP($F48,[1]Matches!$B$4:$H$113,7,0),"")</f>
        <v>Monterrey</v>
      </c>
      <c r="J48" s="25"/>
      <c r="K48" s="24"/>
    </row>
    <row r="49" spans="2:11" x14ac:dyDescent="0.35">
      <c r="B49" s="23"/>
      <c r="C49" s="22"/>
      <c r="D49" s="21"/>
      <c r="E49" s="21"/>
      <c r="F49" s="20"/>
      <c r="G49" s="19"/>
      <c r="H49" s="19"/>
      <c r="I49" s="19"/>
      <c r="J49" s="19"/>
      <c r="K49" s="18"/>
    </row>
    <row r="50" spans="2:11" x14ac:dyDescent="0.35">
      <c r="B50" s="30">
        <f>INDEX([1]Matches!$B$4:$J$113,MATCH($F50,[1]Matches!$B$4:$B$113,0),5)</f>
        <v>46194.75</v>
      </c>
      <c r="C50" s="29">
        <f>INDEX([1]Matches!$B$4:$J$113,MATCH($F50,[1]Matches!$B$4:$B$113,0),5)</f>
        <v>46194.75</v>
      </c>
      <c r="D50" s="37" t="str">
        <f>INDEX([1]Matches!$B$4:$J$113,MATCH($F50,[1]Matches!$B$4:$B$113,0),8)</f>
        <v>Spain</v>
      </c>
      <c r="E50" s="37" t="str">
        <f>INDEX([1]Matches!$B$4:$J$113,MATCH($F50,[1]Matches!$B$4:$B$113,0),9)</f>
        <v>Saudi Arabia</v>
      </c>
      <c r="F50" s="27">
        <v>38</v>
      </c>
      <c r="G50" s="26" t="str">
        <f>INDEX([1]Matches!$B$4:$J$113,MATCH($F50,[1]Matches!$B$4:$B$113,0),2)</f>
        <v>H1</v>
      </c>
      <c r="H50" s="26" t="str">
        <f>INDEX([1]Matches!$B$4:$J$113,MATCH($F50,[1]Matches!$B$4:$B$113,0),3)</f>
        <v>H3</v>
      </c>
      <c r="I50" s="26" t="str">
        <f>IFERROR(VLOOKUP($F50,[1]Matches!$B$4:$H$113,7,0),"")</f>
        <v>Atlanta</v>
      </c>
      <c r="J50" s="25"/>
      <c r="K50" s="24"/>
    </row>
    <row r="51" spans="2:11" x14ac:dyDescent="0.35">
      <c r="B51" s="30">
        <f>INDEX([1]Matches!$B$4:$J$113,MATCH($F51,[1]Matches!$B$4:$B$113,0),5)</f>
        <v>46194.875</v>
      </c>
      <c r="C51" s="29">
        <f>INDEX([1]Matches!$B$4:$J$113,MATCH($F51,[1]Matches!$B$4:$B$113,0),5)</f>
        <v>46194.875</v>
      </c>
      <c r="D51" s="37" t="str">
        <f>INDEX([1]Matches!$B$4:$J$113,MATCH($F51,[1]Matches!$B$4:$B$113,0),8)</f>
        <v>Belgium</v>
      </c>
      <c r="E51" s="37" t="str">
        <f>INDEX([1]Matches!$B$4:$J$113,MATCH($F51,[1]Matches!$B$4:$B$113,0),9)</f>
        <v>IR Iran</v>
      </c>
      <c r="F51" s="27">
        <v>39</v>
      </c>
      <c r="G51" s="26" t="str">
        <f>INDEX([1]Matches!$B$4:$J$113,MATCH($F51,[1]Matches!$B$4:$B$113,0),2)</f>
        <v>G1</v>
      </c>
      <c r="H51" s="26" t="str">
        <f>INDEX([1]Matches!$B$4:$J$113,MATCH($F51,[1]Matches!$B$4:$B$113,0),3)</f>
        <v>G3</v>
      </c>
      <c r="I51" s="26" t="str">
        <f>IFERROR(VLOOKUP($F51,[1]Matches!$B$4:$H$113,7,0),"")</f>
        <v>Los Angeles</v>
      </c>
      <c r="J51" s="25"/>
      <c r="K51" s="24"/>
    </row>
    <row r="52" spans="2:11" x14ac:dyDescent="0.35">
      <c r="B52" s="30">
        <f>INDEX([1]Matches!$B$4:$J$113,MATCH($F52,[1]Matches!$B$4:$B$113,0),5)</f>
        <v>46195</v>
      </c>
      <c r="C52" s="29">
        <f>INDEX([1]Matches!$B$4:$J$113,MATCH($F52,[1]Matches!$B$4:$B$113,0),5)</f>
        <v>46195</v>
      </c>
      <c r="D52" s="37" t="str">
        <f>INDEX([1]Matches!$B$4:$J$113,MATCH($F52,[1]Matches!$B$4:$B$113,0),8)</f>
        <v>Uruguay</v>
      </c>
      <c r="E52" s="37" t="str">
        <f>INDEX([1]Matches!$B$4:$J$113,MATCH($F52,[1]Matches!$B$4:$B$113,0),9)</f>
        <v>Cape Verde</v>
      </c>
      <c r="F52" s="27">
        <v>37</v>
      </c>
      <c r="G52" s="26" t="str">
        <f>INDEX([1]Matches!$B$4:$J$113,MATCH($F52,[1]Matches!$B$4:$B$113,0),2)</f>
        <v>H4</v>
      </c>
      <c r="H52" s="26" t="str">
        <f>INDEX([1]Matches!$B$4:$J$113,MATCH($F52,[1]Matches!$B$4:$B$113,0),3)</f>
        <v>H2</v>
      </c>
      <c r="I52" s="26" t="str">
        <f>IFERROR(VLOOKUP($F52,[1]Matches!$B$4:$H$113,7,0),"")</f>
        <v>Miami</v>
      </c>
      <c r="J52" s="25"/>
      <c r="K52" s="24"/>
    </row>
    <row r="53" spans="2:11" x14ac:dyDescent="0.35">
      <c r="B53" s="30">
        <f>INDEX([1]Matches!$B$4:$J$113,MATCH($F53,[1]Matches!$B$4:$B$113,0),5)</f>
        <v>46195.125</v>
      </c>
      <c r="C53" s="29">
        <f>INDEX([1]Matches!$B$4:$J$113,MATCH($F53,[1]Matches!$B$4:$B$113,0),5)</f>
        <v>46195.125</v>
      </c>
      <c r="D53" s="37" t="str">
        <f>INDEX([1]Matches!$B$4:$J$113,MATCH($F53,[1]Matches!$B$4:$B$113,0),8)</f>
        <v>New Zealand</v>
      </c>
      <c r="E53" s="37" t="str">
        <f>INDEX([1]Matches!$B$4:$J$113,MATCH($F53,[1]Matches!$B$4:$B$113,0),9)</f>
        <v>Egypt</v>
      </c>
      <c r="F53" s="27">
        <v>40</v>
      </c>
      <c r="G53" s="26" t="str">
        <f>INDEX([1]Matches!$B$4:$J$113,MATCH($F53,[1]Matches!$B$4:$B$113,0),2)</f>
        <v>G4</v>
      </c>
      <c r="H53" s="26" t="str">
        <f>INDEX([1]Matches!$B$4:$J$113,MATCH($F53,[1]Matches!$B$4:$B$113,0),3)</f>
        <v>G2</v>
      </c>
      <c r="I53" s="26" t="str">
        <f>IFERROR(VLOOKUP($F53,[1]Matches!$B$4:$H$113,7,0),"")</f>
        <v>Vancouver</v>
      </c>
      <c r="J53" s="25"/>
      <c r="K53" s="24"/>
    </row>
    <row r="54" spans="2:11" x14ac:dyDescent="0.35">
      <c r="B54" s="23"/>
      <c r="C54" s="22"/>
      <c r="D54" s="21"/>
      <c r="E54" s="21"/>
      <c r="F54" s="20"/>
      <c r="G54" s="19"/>
      <c r="H54" s="19"/>
      <c r="I54" s="19"/>
      <c r="J54" s="19"/>
      <c r="K54" s="18"/>
    </row>
    <row r="55" spans="2:11" x14ac:dyDescent="0.35">
      <c r="B55" s="30">
        <f>INDEX([1]Matches!$B$4:$J$113,MATCH($F55,[1]Matches!$B$4:$B$113,0),5)</f>
        <v>46195.791666666664</v>
      </c>
      <c r="C55" s="29">
        <f>INDEX([1]Matches!$B$4:$J$113,MATCH($F55,[1]Matches!$B$4:$B$113,0),5)</f>
        <v>46195.791666666664</v>
      </c>
      <c r="D55" s="37" t="str">
        <f>INDEX([1]Matches!$B$4:$J$113,MATCH($F55,[1]Matches!$B$4:$B$113,0),8)</f>
        <v>Argentina</v>
      </c>
      <c r="E55" s="37" t="str">
        <f>INDEX([1]Matches!$B$4:$J$113,MATCH($F55,[1]Matches!$B$4:$B$113,0),9)</f>
        <v>Austria</v>
      </c>
      <c r="F55" s="27">
        <v>43</v>
      </c>
      <c r="G55" s="26" t="str">
        <f>INDEX([1]Matches!$B$4:$J$113,MATCH($F55,[1]Matches!$B$4:$B$113,0),2)</f>
        <v>J1</v>
      </c>
      <c r="H55" s="26" t="str">
        <f>INDEX([1]Matches!$B$4:$J$113,MATCH($F55,[1]Matches!$B$4:$B$113,0),3)</f>
        <v>J3</v>
      </c>
      <c r="I55" s="26" t="str">
        <f>IFERROR(VLOOKUP($F55,[1]Matches!$B$4:$H$113,7,0),"")</f>
        <v>Dallas</v>
      </c>
      <c r="J55" s="25"/>
      <c r="K55" s="24"/>
    </row>
    <row r="56" spans="2:11" x14ac:dyDescent="0.35">
      <c r="B56" s="30">
        <f>INDEX([1]Matches!$B$4:$J$113,MATCH($F56,[1]Matches!$B$4:$B$113,0),5)</f>
        <v>46195.958333333336</v>
      </c>
      <c r="C56" s="29">
        <f>INDEX([1]Matches!$B$4:$J$113,MATCH($F56,[1]Matches!$B$4:$B$113,0),5)</f>
        <v>46195.958333333336</v>
      </c>
      <c r="D56" s="37" t="str">
        <f>INDEX([1]Matches!$B$4:$J$113,MATCH($F56,[1]Matches!$B$4:$B$113,0),8)</f>
        <v>France</v>
      </c>
      <c r="E56" s="37" t="str">
        <f>INDEX([1]Matches!$B$4:$J$113,MATCH($F56,[1]Matches!$B$4:$B$113,0),9)</f>
        <v>Iraq</v>
      </c>
      <c r="F56" s="27">
        <v>42</v>
      </c>
      <c r="G56" s="26" t="str">
        <f>INDEX([1]Matches!$B$4:$J$113,MATCH($F56,[1]Matches!$B$4:$B$113,0),2)</f>
        <v>I1</v>
      </c>
      <c r="H56" s="26" t="str">
        <f>INDEX([1]Matches!$B$4:$J$113,MATCH($F56,[1]Matches!$B$4:$B$113,0),3)</f>
        <v>I3</v>
      </c>
      <c r="I56" s="26" t="str">
        <f>IFERROR(VLOOKUP($F56,[1]Matches!$B$4:$H$113,7,0),"")</f>
        <v>Philadelphia</v>
      </c>
      <c r="J56" s="25"/>
      <c r="K56" s="24"/>
    </row>
    <row r="57" spans="2:11" x14ac:dyDescent="0.35">
      <c r="B57" s="30">
        <f>INDEX([1]Matches!$B$4:$J$113,MATCH($F57,[1]Matches!$B$4:$B$113,0),5)</f>
        <v>46196.083333333336</v>
      </c>
      <c r="C57" s="29">
        <f>INDEX([1]Matches!$B$4:$J$113,MATCH($F57,[1]Matches!$B$4:$B$113,0),5)</f>
        <v>46196.083333333336</v>
      </c>
      <c r="D57" s="37" t="str">
        <f>INDEX([1]Matches!$B$4:$J$113,MATCH($F57,[1]Matches!$B$4:$B$113,0),8)</f>
        <v>Norway</v>
      </c>
      <c r="E57" s="37" t="str">
        <f>INDEX([1]Matches!$B$4:$J$113,MATCH($F57,[1]Matches!$B$4:$B$113,0),9)</f>
        <v>Senegal</v>
      </c>
      <c r="F57" s="27">
        <v>41</v>
      </c>
      <c r="G57" s="26" t="str">
        <f>INDEX([1]Matches!$B$4:$J$113,MATCH($F57,[1]Matches!$B$4:$B$113,0),2)</f>
        <v>I4</v>
      </c>
      <c r="H57" s="26" t="str">
        <f>INDEX([1]Matches!$B$4:$J$113,MATCH($F57,[1]Matches!$B$4:$B$113,0),3)</f>
        <v>I2</v>
      </c>
      <c r="I57" s="26" t="str">
        <f>IFERROR(VLOOKUP($F57,[1]Matches!$B$4:$H$113,7,0),"")</f>
        <v>New York/New Jersey</v>
      </c>
      <c r="J57" s="25"/>
      <c r="K57" s="24"/>
    </row>
    <row r="58" spans="2:11" x14ac:dyDescent="0.35">
      <c r="B58" s="30">
        <f>INDEX([1]Matches!$B$4:$J$113,MATCH($F58,[1]Matches!$B$4:$B$113,0),5)</f>
        <v>46196.208333333336</v>
      </c>
      <c r="C58" s="29">
        <f>INDEX([1]Matches!$B$4:$J$113,MATCH($F58,[1]Matches!$B$4:$B$113,0),5)</f>
        <v>46196.208333333336</v>
      </c>
      <c r="D58" s="37" t="str">
        <f>INDEX([1]Matches!$B$4:$J$113,MATCH($F58,[1]Matches!$B$4:$B$113,0),8)</f>
        <v>Jordan</v>
      </c>
      <c r="E58" s="37" t="str">
        <f>INDEX([1]Matches!$B$4:$J$113,MATCH($F58,[1]Matches!$B$4:$B$113,0),9)</f>
        <v>Algeria</v>
      </c>
      <c r="F58" s="27">
        <v>44</v>
      </c>
      <c r="G58" s="26" t="str">
        <f>INDEX([1]Matches!$B$4:$J$113,MATCH($F58,[1]Matches!$B$4:$B$113,0),2)</f>
        <v>J4</v>
      </c>
      <c r="H58" s="26" t="str">
        <f>INDEX([1]Matches!$B$4:$J$113,MATCH($F58,[1]Matches!$B$4:$B$113,0),3)</f>
        <v>J2</v>
      </c>
      <c r="I58" s="26" t="str">
        <f>IFERROR(VLOOKUP($F58,[1]Matches!$B$4:$H$113,7,0),"")</f>
        <v>San Francisco Bay Area</v>
      </c>
      <c r="J58" s="25"/>
      <c r="K58" s="24"/>
    </row>
    <row r="59" spans="2:11" x14ac:dyDescent="0.35">
      <c r="B59" s="23"/>
      <c r="C59" s="22"/>
      <c r="D59" s="21"/>
      <c r="E59" s="21"/>
      <c r="F59" s="20"/>
      <c r="G59" s="19"/>
      <c r="H59" s="19"/>
      <c r="I59" s="19"/>
      <c r="J59" s="19"/>
      <c r="K59" s="18"/>
    </row>
    <row r="60" spans="2:11" x14ac:dyDescent="0.35">
      <c r="B60" s="30">
        <f>INDEX([1]Matches!$B$4:$J$113,MATCH($F60,[1]Matches!$B$4:$B$113,0),5)</f>
        <v>46196.791666666664</v>
      </c>
      <c r="C60" s="29">
        <f>INDEX([1]Matches!$B$4:$J$113,MATCH($F60,[1]Matches!$B$4:$B$113,0),5)</f>
        <v>46196.791666666664</v>
      </c>
      <c r="D60" s="37" t="str">
        <f>INDEX([1]Matches!$B$4:$J$113,MATCH($F60,[1]Matches!$B$4:$B$113,0),8)</f>
        <v>Portugal</v>
      </c>
      <c r="E60" s="37" t="str">
        <f>INDEX([1]Matches!$B$4:$J$113,MATCH($F60,[1]Matches!$B$4:$B$113,0),9)</f>
        <v>Uzbekistan</v>
      </c>
      <c r="F60" s="27">
        <v>47</v>
      </c>
      <c r="G60" s="26" t="str">
        <f>INDEX([1]Matches!$B$4:$J$113,MATCH($F60,[1]Matches!$B$4:$B$113,0),2)</f>
        <v>K1</v>
      </c>
      <c r="H60" s="26" t="str">
        <f>INDEX([1]Matches!$B$4:$J$113,MATCH($F60,[1]Matches!$B$4:$B$113,0),3)</f>
        <v>K3</v>
      </c>
      <c r="I60" s="26" t="str">
        <f>IFERROR(VLOOKUP($F60,[1]Matches!$B$4:$H$113,7,0),"")</f>
        <v>Houston</v>
      </c>
      <c r="J60" s="25"/>
      <c r="K60" s="24"/>
    </row>
    <row r="61" spans="2:11" x14ac:dyDescent="0.35">
      <c r="B61" s="30">
        <f>INDEX([1]Matches!$B$4:$J$113,MATCH($F61,[1]Matches!$B$4:$B$113,0),5)</f>
        <v>46196.916666666664</v>
      </c>
      <c r="C61" s="29">
        <f>INDEX([1]Matches!$B$4:$J$113,MATCH($F61,[1]Matches!$B$4:$B$113,0),5)</f>
        <v>46196.916666666664</v>
      </c>
      <c r="D61" s="37" t="str">
        <f>INDEX([1]Matches!$B$4:$J$113,MATCH($F61,[1]Matches!$B$4:$B$113,0),8)</f>
        <v>England</v>
      </c>
      <c r="E61" s="37" t="str">
        <f>INDEX([1]Matches!$B$4:$J$113,MATCH($F61,[1]Matches!$B$4:$B$113,0),9)</f>
        <v>Ghana</v>
      </c>
      <c r="F61" s="27">
        <v>45</v>
      </c>
      <c r="G61" s="26" t="str">
        <f>INDEX([1]Matches!$B$4:$J$113,MATCH($F61,[1]Matches!$B$4:$B$113,0),2)</f>
        <v>L1</v>
      </c>
      <c r="H61" s="26" t="str">
        <f>INDEX([1]Matches!$B$4:$J$113,MATCH($F61,[1]Matches!$B$4:$B$113,0),3)</f>
        <v>L3</v>
      </c>
      <c r="I61" s="26" t="str">
        <f>IFERROR(VLOOKUP($F61,[1]Matches!$B$4:$H$113,7,0),"")</f>
        <v>Boston</v>
      </c>
      <c r="J61" s="25"/>
      <c r="K61" s="24"/>
    </row>
    <row r="62" spans="2:11" x14ac:dyDescent="0.35">
      <c r="B62" s="30">
        <f>INDEX([1]Matches!$B$4:$J$113,MATCH($F62,[1]Matches!$B$4:$B$113,0),5)</f>
        <v>46197.041666666664</v>
      </c>
      <c r="C62" s="29">
        <f>INDEX([1]Matches!$B$4:$J$113,MATCH($F62,[1]Matches!$B$4:$B$113,0),5)</f>
        <v>46197.041666666664</v>
      </c>
      <c r="D62" s="37" t="str">
        <f>INDEX([1]Matches!$B$4:$J$113,MATCH($F62,[1]Matches!$B$4:$B$113,0),8)</f>
        <v>Panama</v>
      </c>
      <c r="E62" s="37" t="str">
        <f>INDEX([1]Matches!$B$4:$J$113,MATCH($F62,[1]Matches!$B$4:$B$113,0),9)</f>
        <v>Croatia</v>
      </c>
      <c r="F62" s="27">
        <v>46</v>
      </c>
      <c r="G62" s="26" t="str">
        <f>INDEX([1]Matches!$B$4:$J$113,MATCH($F62,[1]Matches!$B$4:$B$113,0),2)</f>
        <v>L4</v>
      </c>
      <c r="H62" s="26" t="str">
        <f>INDEX([1]Matches!$B$4:$J$113,MATCH($F62,[1]Matches!$B$4:$B$113,0),3)</f>
        <v>L2</v>
      </c>
      <c r="I62" s="26" t="str">
        <f>IFERROR(VLOOKUP($F62,[1]Matches!$B$4:$H$113,7,0),"")</f>
        <v>Toronto</v>
      </c>
      <c r="J62" s="25"/>
      <c r="K62" s="24"/>
    </row>
    <row r="63" spans="2:11" x14ac:dyDescent="0.35">
      <c r="B63" s="30">
        <f>INDEX([1]Matches!$B$4:$J$113,MATCH($F63,[1]Matches!$B$4:$B$113,0),5)</f>
        <v>46197.166666666664</v>
      </c>
      <c r="C63" s="29">
        <f>INDEX([1]Matches!$B$4:$J$113,MATCH($F63,[1]Matches!$B$4:$B$113,0),5)</f>
        <v>46197.166666666664</v>
      </c>
      <c r="D63" s="37" t="str">
        <f>INDEX([1]Matches!$B$4:$J$113,MATCH($F63,[1]Matches!$B$4:$B$113,0),8)</f>
        <v>Colombia</v>
      </c>
      <c r="E63" s="37" t="str">
        <f>INDEX([1]Matches!$B$4:$J$113,MATCH($F63,[1]Matches!$B$4:$B$113,0),9)</f>
        <v>DR Congo</v>
      </c>
      <c r="F63" s="27">
        <v>48</v>
      </c>
      <c r="G63" s="26" t="str">
        <f>INDEX([1]Matches!$B$4:$J$113,MATCH($F63,[1]Matches!$B$4:$B$113,0),2)</f>
        <v>K4</v>
      </c>
      <c r="H63" s="26" t="str">
        <f>INDEX([1]Matches!$B$4:$J$113,MATCH($F63,[1]Matches!$B$4:$B$113,0),3)</f>
        <v>K2</v>
      </c>
      <c r="I63" s="26" t="str">
        <f>IFERROR(VLOOKUP($F63,[1]Matches!$B$4:$H$113,7,0),"")</f>
        <v>Guadalajara</v>
      </c>
      <c r="J63" s="25"/>
      <c r="K63" s="24"/>
    </row>
    <row r="64" spans="2:11" x14ac:dyDescent="0.35">
      <c r="B64" s="23"/>
      <c r="C64" s="22"/>
      <c r="D64" s="21"/>
      <c r="E64" s="21"/>
      <c r="F64" s="20"/>
      <c r="G64" s="19"/>
      <c r="H64" s="19"/>
      <c r="I64" s="19"/>
      <c r="J64" s="19"/>
      <c r="K64" s="18"/>
    </row>
    <row r="65" spans="2:11" x14ac:dyDescent="0.35">
      <c r="B65" s="30">
        <f>INDEX([1]Matches!$B$4:$J$113,MATCH($F65,[1]Matches!$B$4:$B$113,0),5)</f>
        <v>46197.875</v>
      </c>
      <c r="C65" s="29">
        <f>INDEX([1]Matches!$B$4:$J$113,MATCH($F65,[1]Matches!$B$4:$B$113,0),5)</f>
        <v>46197.875</v>
      </c>
      <c r="D65" s="37" t="str">
        <f>INDEX([1]Matches!$B$4:$J$113,MATCH($F65,[1]Matches!$B$4:$B$113,0),8)</f>
        <v>Switzerland</v>
      </c>
      <c r="E65" s="37" t="str">
        <f>INDEX([1]Matches!$B$4:$J$113,MATCH($F65,[1]Matches!$B$4:$B$113,0),9)</f>
        <v>Canada</v>
      </c>
      <c r="F65" s="27">
        <v>51</v>
      </c>
      <c r="G65" s="26" t="str">
        <f>INDEX([1]Matches!$B$4:$J$113,MATCH($F65,[1]Matches!$B$4:$B$113,0),2)</f>
        <v>B4</v>
      </c>
      <c r="H65" s="26" t="str">
        <f>INDEX([1]Matches!$B$4:$J$113,MATCH($F65,[1]Matches!$B$4:$B$113,0),3)</f>
        <v>B1</v>
      </c>
      <c r="I65" s="26" t="str">
        <f>IFERROR(VLOOKUP($F65,[1]Matches!$B$4:$H$113,7,0),"")</f>
        <v>Vancouver</v>
      </c>
      <c r="J65" s="25"/>
      <c r="K65" s="24"/>
    </row>
    <row r="66" spans="2:11" x14ac:dyDescent="0.35">
      <c r="B66" s="30">
        <f>INDEX([1]Matches!$B$4:$J$113,MATCH($F66,[1]Matches!$B$4:$B$113,0),5)</f>
        <v>46197.875</v>
      </c>
      <c r="C66" s="29">
        <f>INDEX([1]Matches!$B$4:$J$113,MATCH($F66,[1]Matches!$B$4:$B$113,0),5)</f>
        <v>46197.875</v>
      </c>
      <c r="D66" s="37" t="str">
        <f>INDEX([1]Matches!$B$4:$J$113,MATCH($F66,[1]Matches!$B$4:$B$113,0),8)</f>
        <v>Bosnia/Herzeg.</v>
      </c>
      <c r="E66" s="37" t="str">
        <f>INDEX([1]Matches!$B$4:$J$113,MATCH($F66,[1]Matches!$B$4:$B$113,0),9)</f>
        <v>Qatar</v>
      </c>
      <c r="F66" s="27">
        <v>52</v>
      </c>
      <c r="G66" s="26" t="str">
        <f>INDEX([1]Matches!$B$4:$J$113,MATCH($F66,[1]Matches!$B$4:$B$113,0),2)</f>
        <v>B2</v>
      </c>
      <c r="H66" s="26" t="str">
        <f>INDEX([1]Matches!$B$4:$J$113,MATCH($F66,[1]Matches!$B$4:$B$113,0),3)</f>
        <v>B3</v>
      </c>
      <c r="I66" s="26" t="str">
        <f>IFERROR(VLOOKUP($F66,[1]Matches!$B$4:$H$113,7,0),"")</f>
        <v>Seattle</v>
      </c>
      <c r="J66" s="25"/>
      <c r="K66" s="24"/>
    </row>
    <row r="67" spans="2:11" x14ac:dyDescent="0.35">
      <c r="B67" s="30">
        <f>INDEX([1]Matches!$B$4:$J$113,MATCH($F67,[1]Matches!$B$4:$B$113,0),5)</f>
        <v>46198</v>
      </c>
      <c r="C67" s="29">
        <f>INDEX([1]Matches!$B$4:$J$113,MATCH($F67,[1]Matches!$B$4:$B$113,0),5)</f>
        <v>46198</v>
      </c>
      <c r="D67" s="37" t="str">
        <f>INDEX([1]Matches!$B$4:$J$113,MATCH($F67,[1]Matches!$B$4:$B$113,0),8)</f>
        <v>Scotland</v>
      </c>
      <c r="E67" s="37" t="str">
        <f>INDEX([1]Matches!$B$4:$J$113,MATCH($F67,[1]Matches!$B$4:$B$113,0),9)</f>
        <v>Brazil</v>
      </c>
      <c r="F67" s="27">
        <v>49</v>
      </c>
      <c r="G67" s="26" t="str">
        <f>INDEX([1]Matches!$B$4:$J$113,MATCH($F67,[1]Matches!$B$4:$B$113,0),2)</f>
        <v>C4</v>
      </c>
      <c r="H67" s="26" t="str">
        <f>INDEX([1]Matches!$B$4:$J$113,MATCH($F67,[1]Matches!$B$4:$B$113,0),3)</f>
        <v>C1</v>
      </c>
      <c r="I67" s="26" t="str">
        <f>IFERROR(VLOOKUP($F67,[1]Matches!$B$4:$H$113,7,0),"")</f>
        <v>Miami</v>
      </c>
      <c r="J67" s="25"/>
      <c r="K67" s="24"/>
    </row>
    <row r="68" spans="2:11" x14ac:dyDescent="0.35">
      <c r="B68" s="30">
        <f>INDEX([1]Matches!$B$4:$J$113,MATCH($F68,[1]Matches!$B$4:$B$113,0),5)</f>
        <v>46198</v>
      </c>
      <c r="C68" s="29">
        <f>INDEX([1]Matches!$B$4:$J$113,MATCH($F68,[1]Matches!$B$4:$B$113,0),5)</f>
        <v>46198</v>
      </c>
      <c r="D68" s="37" t="str">
        <f>INDEX([1]Matches!$B$4:$J$113,MATCH($F68,[1]Matches!$B$4:$B$113,0),8)</f>
        <v>Morocco</v>
      </c>
      <c r="E68" s="37" t="str">
        <f>INDEX([1]Matches!$B$4:$J$113,MATCH($F68,[1]Matches!$B$4:$B$113,0),9)</f>
        <v>Haiti</v>
      </c>
      <c r="F68" s="27">
        <v>50</v>
      </c>
      <c r="G68" s="26" t="str">
        <f>INDEX([1]Matches!$B$4:$J$113,MATCH($F68,[1]Matches!$B$4:$B$113,0),2)</f>
        <v>C2</v>
      </c>
      <c r="H68" s="26" t="str">
        <f>INDEX([1]Matches!$B$4:$J$113,MATCH($F68,[1]Matches!$B$4:$B$113,0),3)</f>
        <v>C3</v>
      </c>
      <c r="I68" s="26" t="str">
        <f>IFERROR(VLOOKUP($F68,[1]Matches!$B$4:$H$113,7,0),"")</f>
        <v>Atlanta</v>
      </c>
      <c r="J68" s="25"/>
      <c r="K68" s="24"/>
    </row>
    <row r="69" spans="2:11" x14ac:dyDescent="0.35">
      <c r="B69" s="30">
        <f>INDEX([1]Matches!$B$4:$J$113,MATCH($F69,[1]Matches!$B$4:$B$113,0),5)</f>
        <v>46198.125</v>
      </c>
      <c r="C69" s="29">
        <f>INDEX([1]Matches!$B$4:$J$113,MATCH($F69,[1]Matches!$B$4:$B$113,0),5)</f>
        <v>46198.125</v>
      </c>
      <c r="D69" s="37" t="str">
        <f>INDEX([1]Matches!$B$4:$J$113,MATCH($F69,[1]Matches!$B$4:$B$113,0),8)</f>
        <v>Czech Rep.</v>
      </c>
      <c r="E69" s="37" t="str">
        <f>INDEX([1]Matches!$B$4:$J$113,MATCH($F69,[1]Matches!$B$4:$B$113,0),9)</f>
        <v>Mexico</v>
      </c>
      <c r="F69" s="27">
        <v>53</v>
      </c>
      <c r="G69" s="26" t="str">
        <f>INDEX([1]Matches!$B$4:$J$113,MATCH($F69,[1]Matches!$B$4:$B$113,0),2)</f>
        <v>A4</v>
      </c>
      <c r="H69" s="26" t="str">
        <f>INDEX([1]Matches!$B$4:$J$113,MATCH($F69,[1]Matches!$B$4:$B$113,0),3)</f>
        <v>A1</v>
      </c>
      <c r="I69" s="26" t="str">
        <f>IFERROR(VLOOKUP($F69,[1]Matches!$B$4:$H$113,7,0),"")</f>
        <v>Mexico City</v>
      </c>
      <c r="J69" s="25"/>
      <c r="K69" s="24"/>
    </row>
    <row r="70" spans="2:11" x14ac:dyDescent="0.35">
      <c r="B70" s="30">
        <f>INDEX([1]Matches!$B$4:$J$113,MATCH($F70,[1]Matches!$B$4:$B$113,0),5)</f>
        <v>46198.125</v>
      </c>
      <c r="C70" s="29">
        <f>INDEX([1]Matches!$B$4:$J$113,MATCH($F70,[1]Matches!$B$4:$B$113,0),5)</f>
        <v>46198.125</v>
      </c>
      <c r="D70" s="37" t="str">
        <f>INDEX([1]Matches!$B$4:$J$113,MATCH($F70,[1]Matches!$B$4:$B$113,0),8)</f>
        <v>South Africa</v>
      </c>
      <c r="E70" s="37" t="str">
        <f>INDEX([1]Matches!$B$4:$J$113,MATCH($F70,[1]Matches!$B$4:$B$113,0),9)</f>
        <v>Rep. of Korea</v>
      </c>
      <c r="F70" s="27">
        <v>54</v>
      </c>
      <c r="G70" s="26" t="str">
        <f>INDEX([1]Matches!$B$4:$J$113,MATCH($F70,[1]Matches!$B$4:$B$113,0),2)</f>
        <v>A2</v>
      </c>
      <c r="H70" s="26" t="str">
        <f>INDEX([1]Matches!$B$4:$J$113,MATCH($F70,[1]Matches!$B$4:$B$113,0),3)</f>
        <v>A3</v>
      </c>
      <c r="I70" s="26" t="str">
        <f>IFERROR(VLOOKUP($F70,[1]Matches!$B$4:$H$113,7,0),"")</f>
        <v>Monterrey</v>
      </c>
      <c r="J70" s="25"/>
      <c r="K70" s="24"/>
    </row>
    <row r="71" spans="2:11" x14ac:dyDescent="0.35">
      <c r="B71" s="23"/>
      <c r="C71" s="22"/>
      <c r="D71" s="21"/>
      <c r="E71" s="21"/>
      <c r="F71" s="20"/>
      <c r="G71" s="19"/>
      <c r="H71" s="19"/>
      <c r="I71" s="19"/>
      <c r="J71" s="19"/>
      <c r="K71" s="18"/>
    </row>
    <row r="72" spans="2:11" x14ac:dyDescent="0.35">
      <c r="B72" s="30">
        <f>INDEX([1]Matches!$B$4:$J$113,MATCH($F72,[1]Matches!$B$4:$B$113,0),5)</f>
        <v>46198.916666666664</v>
      </c>
      <c r="C72" s="29">
        <f>INDEX([1]Matches!$B$4:$J$113,MATCH($F72,[1]Matches!$B$4:$B$113,0),5)</f>
        <v>46198.916666666664</v>
      </c>
      <c r="D72" s="37" t="str">
        <f>INDEX([1]Matches!$B$4:$J$113,MATCH($F72,[1]Matches!$B$4:$B$113,0),8)</f>
        <v>Curaçao</v>
      </c>
      <c r="E72" s="37" t="str">
        <f>INDEX([1]Matches!$B$4:$J$113,MATCH($F72,[1]Matches!$B$4:$B$113,0),9)</f>
        <v>Ivory Coast</v>
      </c>
      <c r="F72" s="27">
        <v>55</v>
      </c>
      <c r="G72" s="26" t="str">
        <f>INDEX([1]Matches!$B$4:$J$113,MATCH($F72,[1]Matches!$B$4:$B$113,0),2)</f>
        <v>E2</v>
      </c>
      <c r="H72" s="26" t="str">
        <f>INDEX([1]Matches!$B$4:$J$113,MATCH($F72,[1]Matches!$B$4:$B$113,0),3)</f>
        <v>E3</v>
      </c>
      <c r="I72" s="26" t="str">
        <f>IFERROR(VLOOKUP($F72,[1]Matches!$B$4:$H$113,7,0),"")</f>
        <v>Philadelphia</v>
      </c>
      <c r="J72" s="25"/>
      <c r="K72" s="24"/>
    </row>
    <row r="73" spans="2:11" x14ac:dyDescent="0.35">
      <c r="B73" s="30">
        <f>INDEX([1]Matches!$B$4:$J$113,MATCH($F73,[1]Matches!$B$4:$B$113,0),5)</f>
        <v>46198.916666666664</v>
      </c>
      <c r="C73" s="29">
        <f>INDEX([1]Matches!$B$4:$J$113,MATCH($F73,[1]Matches!$B$4:$B$113,0),5)</f>
        <v>46198.916666666664</v>
      </c>
      <c r="D73" s="37" t="str">
        <f>INDEX([1]Matches!$B$4:$J$113,MATCH($F73,[1]Matches!$B$4:$B$113,0),8)</f>
        <v>Ecuador</v>
      </c>
      <c r="E73" s="37" t="str">
        <f>INDEX([1]Matches!$B$4:$J$113,MATCH($F73,[1]Matches!$B$4:$B$113,0),9)</f>
        <v>Germany</v>
      </c>
      <c r="F73" s="27">
        <v>56</v>
      </c>
      <c r="G73" s="26" t="str">
        <f>INDEX([1]Matches!$B$4:$J$113,MATCH($F73,[1]Matches!$B$4:$B$113,0),2)</f>
        <v>E4</v>
      </c>
      <c r="H73" s="26" t="str">
        <f>INDEX([1]Matches!$B$4:$J$113,MATCH($F73,[1]Matches!$B$4:$B$113,0),3)</f>
        <v>E1</v>
      </c>
      <c r="I73" s="26" t="str">
        <f>IFERROR(VLOOKUP($F73,[1]Matches!$B$4:$H$113,7,0),"")</f>
        <v>New York/New Jersey</v>
      </c>
      <c r="J73" s="25"/>
      <c r="K73" s="24"/>
    </row>
    <row r="74" spans="2:11" x14ac:dyDescent="0.35">
      <c r="B74" s="30">
        <f>INDEX([1]Matches!$B$4:$J$113,MATCH($F74,[1]Matches!$B$4:$B$113,0),5)</f>
        <v>46199.041666666664</v>
      </c>
      <c r="C74" s="29">
        <f>INDEX([1]Matches!$B$4:$J$113,MATCH($F74,[1]Matches!$B$4:$B$113,0),5)</f>
        <v>46199.041666666664</v>
      </c>
      <c r="D74" s="37" t="str">
        <f>INDEX([1]Matches!$B$4:$J$113,MATCH($F74,[1]Matches!$B$4:$B$113,0),8)</f>
        <v>Japan</v>
      </c>
      <c r="E74" s="37" t="str">
        <f>INDEX([1]Matches!$B$4:$J$113,MATCH($F74,[1]Matches!$B$4:$B$113,0),9)</f>
        <v>Sweden</v>
      </c>
      <c r="F74" s="27">
        <v>57</v>
      </c>
      <c r="G74" s="26" t="str">
        <f>INDEX([1]Matches!$B$4:$J$113,MATCH($F74,[1]Matches!$B$4:$B$113,0),2)</f>
        <v>F2</v>
      </c>
      <c r="H74" s="26" t="str">
        <f>INDEX([1]Matches!$B$4:$J$113,MATCH($F74,[1]Matches!$B$4:$B$113,0),3)</f>
        <v>F3</v>
      </c>
      <c r="I74" s="26" t="str">
        <f>IFERROR(VLOOKUP($F74,[1]Matches!$B$4:$H$113,7,0),"")</f>
        <v>Dallas</v>
      </c>
      <c r="J74" s="25"/>
      <c r="K74" s="24"/>
    </row>
    <row r="75" spans="2:11" x14ac:dyDescent="0.35">
      <c r="B75" s="30">
        <f>INDEX([1]Matches!$B$4:$J$113,MATCH($F75,[1]Matches!$B$4:$B$113,0),5)</f>
        <v>46199.041666666664</v>
      </c>
      <c r="C75" s="29">
        <f>INDEX([1]Matches!$B$4:$J$113,MATCH($F75,[1]Matches!$B$4:$B$113,0),5)</f>
        <v>46199.041666666664</v>
      </c>
      <c r="D75" s="37" t="str">
        <f>INDEX([1]Matches!$B$4:$J$113,MATCH($F75,[1]Matches!$B$4:$B$113,0),8)</f>
        <v>Tunisia</v>
      </c>
      <c r="E75" s="37" t="str">
        <f>INDEX([1]Matches!$B$4:$J$113,MATCH($F75,[1]Matches!$B$4:$B$113,0),9)</f>
        <v>Netherlands</v>
      </c>
      <c r="F75" s="27">
        <v>58</v>
      </c>
      <c r="G75" s="26" t="str">
        <f>INDEX([1]Matches!$B$4:$J$113,MATCH($F75,[1]Matches!$B$4:$B$113,0),2)</f>
        <v>F4</v>
      </c>
      <c r="H75" s="26" t="str">
        <f>INDEX([1]Matches!$B$4:$J$113,MATCH($F75,[1]Matches!$B$4:$B$113,0),3)</f>
        <v>F1</v>
      </c>
      <c r="I75" s="26" t="str">
        <f>IFERROR(VLOOKUP($F75,[1]Matches!$B$4:$H$113,7,0),"")</f>
        <v>Kansas City</v>
      </c>
      <c r="J75" s="25"/>
      <c r="K75" s="24"/>
    </row>
    <row r="76" spans="2:11" x14ac:dyDescent="0.35">
      <c r="B76" s="30">
        <f>INDEX([1]Matches!$B$4:$J$113,MATCH($F76,[1]Matches!$B$4:$B$113,0),5)</f>
        <v>46199.166666666664</v>
      </c>
      <c r="C76" s="29">
        <f>INDEX([1]Matches!$B$4:$J$113,MATCH($F76,[1]Matches!$B$4:$B$113,0),5)</f>
        <v>46199.166666666664</v>
      </c>
      <c r="D76" s="37" t="str">
        <f>INDEX([1]Matches!$B$4:$J$113,MATCH($F76,[1]Matches!$B$4:$B$113,0),8)</f>
        <v>Turkey</v>
      </c>
      <c r="E76" s="37" t="str">
        <f>INDEX([1]Matches!$B$4:$J$113,MATCH($F76,[1]Matches!$B$4:$B$113,0),9)</f>
        <v>USA</v>
      </c>
      <c r="F76" s="27">
        <v>59</v>
      </c>
      <c r="G76" s="26" t="str">
        <f>INDEX([1]Matches!$B$4:$J$113,MATCH($F76,[1]Matches!$B$4:$B$113,0),2)</f>
        <v>D4</v>
      </c>
      <c r="H76" s="26" t="str">
        <f>INDEX([1]Matches!$B$4:$J$113,MATCH($F76,[1]Matches!$B$4:$B$113,0),3)</f>
        <v>D1</v>
      </c>
      <c r="I76" s="26" t="str">
        <f>IFERROR(VLOOKUP($F76,[1]Matches!$B$4:$H$113,7,0),"")</f>
        <v>Los Angeles</v>
      </c>
      <c r="J76" s="25"/>
      <c r="K76" s="24"/>
    </row>
    <row r="77" spans="2:11" x14ac:dyDescent="0.35">
      <c r="B77" s="30">
        <f>INDEX([1]Matches!$B$4:$J$113,MATCH($F77,[1]Matches!$B$4:$B$113,0),5)</f>
        <v>46199.166666666664</v>
      </c>
      <c r="C77" s="29">
        <f>INDEX([1]Matches!$B$4:$J$113,MATCH($F77,[1]Matches!$B$4:$B$113,0),5)</f>
        <v>46199.166666666664</v>
      </c>
      <c r="D77" s="37" t="str">
        <f>INDEX([1]Matches!$B$4:$J$113,MATCH($F77,[1]Matches!$B$4:$B$113,0),8)</f>
        <v>Paraguay</v>
      </c>
      <c r="E77" s="37" t="str">
        <f>INDEX([1]Matches!$B$4:$J$113,MATCH($F77,[1]Matches!$B$4:$B$113,0),9)</f>
        <v>Australia</v>
      </c>
      <c r="F77" s="27">
        <v>60</v>
      </c>
      <c r="G77" s="26" t="str">
        <f>INDEX([1]Matches!$B$4:$J$113,MATCH($F77,[1]Matches!$B$4:$B$113,0),2)</f>
        <v>D2</v>
      </c>
      <c r="H77" s="26" t="str">
        <f>INDEX([1]Matches!$B$4:$J$113,MATCH($F77,[1]Matches!$B$4:$B$113,0),3)</f>
        <v>D3</v>
      </c>
      <c r="I77" s="26" t="str">
        <f>IFERROR(VLOOKUP($F77,[1]Matches!$B$4:$H$113,7,0),"")</f>
        <v>San Francisco Bay Area</v>
      </c>
      <c r="J77" s="25"/>
      <c r="K77" s="24"/>
    </row>
    <row r="78" spans="2:11" x14ac:dyDescent="0.35">
      <c r="B78" s="23"/>
      <c r="C78" s="22"/>
      <c r="D78" s="21"/>
      <c r="E78" s="21"/>
      <c r="F78" s="20"/>
      <c r="G78" s="19"/>
      <c r="H78" s="19"/>
      <c r="I78" s="19"/>
      <c r="J78" s="19"/>
      <c r="K78" s="18"/>
    </row>
    <row r="79" spans="2:11" x14ac:dyDescent="0.35">
      <c r="B79" s="30">
        <f>INDEX([1]Matches!$B$4:$J$113,MATCH($F79,[1]Matches!$B$4:$B$113,0),5)</f>
        <v>46199.875</v>
      </c>
      <c r="C79" s="29">
        <f>INDEX([1]Matches!$B$4:$J$113,MATCH($F79,[1]Matches!$B$4:$B$113,0),5)</f>
        <v>46199.875</v>
      </c>
      <c r="D79" s="37" t="str">
        <f>INDEX([1]Matches!$B$4:$J$113,MATCH($F79,[1]Matches!$B$4:$B$113,0),8)</f>
        <v>Norway</v>
      </c>
      <c r="E79" s="37" t="str">
        <f>INDEX([1]Matches!$B$4:$J$113,MATCH($F79,[1]Matches!$B$4:$B$113,0),9)</f>
        <v>France</v>
      </c>
      <c r="F79" s="27">
        <v>61</v>
      </c>
      <c r="G79" s="26" t="str">
        <f>INDEX([1]Matches!$B$4:$J$113,MATCH($F79,[1]Matches!$B$4:$B$113,0),2)</f>
        <v>I4</v>
      </c>
      <c r="H79" s="26" t="str">
        <f>INDEX([1]Matches!$B$4:$J$113,MATCH($F79,[1]Matches!$B$4:$B$113,0),3)</f>
        <v>I1</v>
      </c>
      <c r="I79" s="26" t="str">
        <f>IFERROR(VLOOKUP($F79,[1]Matches!$B$4:$H$113,7,0),"")</f>
        <v>Boston</v>
      </c>
      <c r="J79" s="25"/>
      <c r="K79" s="24"/>
    </row>
    <row r="80" spans="2:11" x14ac:dyDescent="0.35">
      <c r="B80" s="30">
        <f>INDEX([1]Matches!$B$4:$J$113,MATCH($F80,[1]Matches!$B$4:$B$113,0),5)</f>
        <v>46199.875</v>
      </c>
      <c r="C80" s="29">
        <f>INDEX([1]Matches!$B$4:$J$113,MATCH($F80,[1]Matches!$B$4:$B$113,0),5)</f>
        <v>46199.875</v>
      </c>
      <c r="D80" s="37" t="str">
        <f>INDEX([1]Matches!$B$4:$J$113,MATCH($F80,[1]Matches!$B$4:$B$113,0),8)</f>
        <v>Senegal</v>
      </c>
      <c r="E80" s="37" t="str">
        <f>INDEX([1]Matches!$B$4:$J$113,MATCH($F80,[1]Matches!$B$4:$B$113,0),9)</f>
        <v>Iraq</v>
      </c>
      <c r="F80" s="27">
        <v>62</v>
      </c>
      <c r="G80" s="26" t="str">
        <f>INDEX([1]Matches!$B$4:$J$113,MATCH($F80,[1]Matches!$B$4:$B$113,0),2)</f>
        <v>I2</v>
      </c>
      <c r="H80" s="26" t="str">
        <f>INDEX([1]Matches!$B$4:$J$113,MATCH($F80,[1]Matches!$B$4:$B$113,0),3)</f>
        <v>I3</v>
      </c>
      <c r="I80" s="26" t="str">
        <f>IFERROR(VLOOKUP($F80,[1]Matches!$B$4:$H$113,7,0),"")</f>
        <v>Toronto</v>
      </c>
      <c r="J80" s="25"/>
      <c r="K80" s="24"/>
    </row>
    <row r="81" spans="2:11" x14ac:dyDescent="0.35">
      <c r="B81" s="30">
        <f>INDEX([1]Matches!$B$4:$J$113,MATCH($F81,[1]Matches!$B$4:$B$113,0),5)</f>
        <v>46200.083333333336</v>
      </c>
      <c r="C81" s="29">
        <f>INDEX([1]Matches!$B$4:$J$113,MATCH($F81,[1]Matches!$B$4:$B$113,0),5)</f>
        <v>46200.083333333336</v>
      </c>
      <c r="D81" s="37" t="str">
        <f>INDEX([1]Matches!$B$4:$J$113,MATCH($F81,[1]Matches!$B$4:$B$113,0),8)</f>
        <v>Cape Verde</v>
      </c>
      <c r="E81" s="37" t="str">
        <f>INDEX([1]Matches!$B$4:$J$113,MATCH($F81,[1]Matches!$B$4:$B$113,0),9)</f>
        <v>Saudi Arabia</v>
      </c>
      <c r="F81" s="27">
        <v>65</v>
      </c>
      <c r="G81" s="26" t="str">
        <f>INDEX([1]Matches!$B$4:$J$113,MATCH($F81,[1]Matches!$B$4:$B$113,0),2)</f>
        <v>H2</v>
      </c>
      <c r="H81" s="26" t="str">
        <f>INDEX([1]Matches!$B$4:$J$113,MATCH($F81,[1]Matches!$B$4:$B$113,0),3)</f>
        <v>H3</v>
      </c>
      <c r="I81" s="26" t="str">
        <f>IFERROR(VLOOKUP($F81,[1]Matches!$B$4:$H$113,7,0),"")</f>
        <v>Houston</v>
      </c>
      <c r="J81" s="25"/>
      <c r="K81" s="24"/>
    </row>
    <row r="82" spans="2:11" x14ac:dyDescent="0.35">
      <c r="B82" s="30">
        <f>INDEX([1]Matches!$B$4:$J$113,MATCH($F82,[1]Matches!$B$4:$B$113,0),5)</f>
        <v>46200.083333333336</v>
      </c>
      <c r="C82" s="29">
        <f>INDEX([1]Matches!$B$4:$J$113,MATCH($F82,[1]Matches!$B$4:$B$113,0),5)</f>
        <v>46200.083333333336</v>
      </c>
      <c r="D82" s="37" t="str">
        <f>INDEX([1]Matches!$B$4:$J$113,MATCH($F82,[1]Matches!$B$4:$B$113,0),8)</f>
        <v>Uruguay</v>
      </c>
      <c r="E82" s="37" t="str">
        <f>INDEX([1]Matches!$B$4:$J$113,MATCH($F82,[1]Matches!$B$4:$B$113,0),9)</f>
        <v>Spain</v>
      </c>
      <c r="F82" s="27">
        <v>66</v>
      </c>
      <c r="G82" s="26" t="str">
        <f>INDEX([1]Matches!$B$4:$J$113,MATCH($F82,[1]Matches!$B$4:$B$113,0),2)</f>
        <v>H4</v>
      </c>
      <c r="H82" s="26" t="str">
        <f>INDEX([1]Matches!$B$4:$J$113,MATCH($F82,[1]Matches!$B$4:$B$113,0),3)</f>
        <v>H1</v>
      </c>
      <c r="I82" s="26" t="str">
        <f>IFERROR(VLOOKUP($F82,[1]Matches!$B$4:$H$113,7,0),"")</f>
        <v>Guadalajara</v>
      </c>
      <c r="J82" s="25"/>
      <c r="K82" s="24"/>
    </row>
    <row r="83" spans="2:11" x14ac:dyDescent="0.35">
      <c r="B83" s="30">
        <f>INDEX([1]Matches!$B$4:$J$113,MATCH($F83,[1]Matches!$B$4:$B$113,0),5)</f>
        <v>46200.208333333336</v>
      </c>
      <c r="C83" s="29">
        <f>INDEX([1]Matches!$B$4:$J$113,MATCH($F83,[1]Matches!$B$4:$B$113,0),5)</f>
        <v>46200.208333333336</v>
      </c>
      <c r="D83" s="37" t="str">
        <f>INDEX([1]Matches!$B$4:$J$113,MATCH($F83,[1]Matches!$B$4:$B$113,0),8)</f>
        <v>Egypt</v>
      </c>
      <c r="E83" s="37" t="str">
        <f>INDEX([1]Matches!$B$4:$J$113,MATCH($F83,[1]Matches!$B$4:$B$113,0),9)</f>
        <v>IR Iran</v>
      </c>
      <c r="F83" s="27">
        <v>63</v>
      </c>
      <c r="G83" s="26" t="str">
        <f>INDEX([1]Matches!$B$4:$J$113,MATCH($F83,[1]Matches!$B$4:$B$113,0),2)</f>
        <v>G2</v>
      </c>
      <c r="H83" s="26" t="str">
        <f>INDEX([1]Matches!$B$4:$J$113,MATCH($F83,[1]Matches!$B$4:$B$113,0),3)</f>
        <v>G3</v>
      </c>
      <c r="I83" s="26" t="str">
        <f>IFERROR(VLOOKUP($F83,[1]Matches!$B$4:$H$113,7,0),"")</f>
        <v>Seattle</v>
      </c>
      <c r="J83" s="25"/>
      <c r="K83" s="24"/>
    </row>
    <row r="84" spans="2:11" x14ac:dyDescent="0.35">
      <c r="B84" s="30">
        <f>INDEX([1]Matches!$B$4:$J$113,MATCH($F84,[1]Matches!$B$4:$B$113,0),5)</f>
        <v>46200.208333333336</v>
      </c>
      <c r="C84" s="29">
        <f>INDEX([1]Matches!$B$4:$J$113,MATCH($F84,[1]Matches!$B$4:$B$113,0),5)</f>
        <v>46200.208333333336</v>
      </c>
      <c r="D84" s="37" t="str">
        <f>INDEX([1]Matches!$B$4:$J$113,MATCH($F84,[1]Matches!$B$4:$B$113,0),8)</f>
        <v>New Zealand</v>
      </c>
      <c r="E84" s="37" t="str">
        <f>INDEX([1]Matches!$B$4:$J$113,MATCH($F84,[1]Matches!$B$4:$B$113,0),9)</f>
        <v>Belgium</v>
      </c>
      <c r="F84" s="27">
        <v>64</v>
      </c>
      <c r="G84" s="26" t="str">
        <f>INDEX([1]Matches!$B$4:$J$113,MATCH($F84,[1]Matches!$B$4:$B$113,0),2)</f>
        <v>G4</v>
      </c>
      <c r="H84" s="26" t="str">
        <f>INDEX([1]Matches!$B$4:$J$113,MATCH($F84,[1]Matches!$B$4:$B$113,0),3)</f>
        <v>G1</v>
      </c>
      <c r="I84" s="26" t="str">
        <f>IFERROR(VLOOKUP($F84,[1]Matches!$B$4:$H$113,7,0),"")</f>
        <v>Vancouver</v>
      </c>
      <c r="J84" s="25"/>
      <c r="K84" s="24"/>
    </row>
    <row r="85" spans="2:11" x14ac:dyDescent="0.35">
      <c r="B85" s="23"/>
      <c r="C85" s="22"/>
      <c r="D85" s="21"/>
      <c r="E85" s="21"/>
      <c r="F85" s="20"/>
      <c r="G85" s="19"/>
      <c r="H85" s="19"/>
      <c r="I85" s="19"/>
      <c r="J85" s="19"/>
      <c r="K85" s="18"/>
    </row>
    <row r="86" spans="2:11" x14ac:dyDescent="0.35">
      <c r="B86" s="30">
        <f>INDEX([1]Matches!$B$4:$J$113,MATCH($F86,[1]Matches!$B$4:$B$113,0),5)</f>
        <v>46200.958333333336</v>
      </c>
      <c r="C86" s="29">
        <f>INDEX([1]Matches!$B$4:$J$113,MATCH($F86,[1]Matches!$B$4:$B$113,0),5)</f>
        <v>46200.958333333336</v>
      </c>
      <c r="D86" s="37" t="str">
        <f>INDEX([1]Matches!$B$4:$J$113,MATCH($F86,[1]Matches!$B$4:$B$113,0),8)</f>
        <v>Panama</v>
      </c>
      <c r="E86" s="37" t="str">
        <f>INDEX([1]Matches!$B$4:$J$113,MATCH($F86,[1]Matches!$B$4:$B$113,0),9)</f>
        <v>England</v>
      </c>
      <c r="F86" s="27">
        <v>67</v>
      </c>
      <c r="G86" s="26" t="str">
        <f>INDEX([1]Matches!$B$4:$J$113,MATCH($F86,[1]Matches!$B$4:$B$113,0),2)</f>
        <v>L4</v>
      </c>
      <c r="H86" s="26" t="str">
        <f>INDEX([1]Matches!$B$4:$J$113,MATCH($F86,[1]Matches!$B$4:$B$113,0),3)</f>
        <v>L1</v>
      </c>
      <c r="I86" s="26" t="str">
        <f>IFERROR(VLOOKUP($F86,[1]Matches!$B$4:$H$113,7,0),"")</f>
        <v>New York/New Jersey</v>
      </c>
      <c r="J86" s="25"/>
      <c r="K86" s="24"/>
    </row>
    <row r="87" spans="2:11" x14ac:dyDescent="0.35">
      <c r="B87" s="30">
        <f>INDEX([1]Matches!$B$4:$J$113,MATCH($F87,[1]Matches!$B$4:$B$113,0),5)</f>
        <v>46200.958333333336</v>
      </c>
      <c r="C87" s="29">
        <f>INDEX([1]Matches!$B$4:$J$113,MATCH($F87,[1]Matches!$B$4:$B$113,0),5)</f>
        <v>46200.958333333336</v>
      </c>
      <c r="D87" s="37" t="str">
        <f>INDEX([1]Matches!$B$4:$J$113,MATCH($F87,[1]Matches!$B$4:$B$113,0),8)</f>
        <v>Croatia</v>
      </c>
      <c r="E87" s="37" t="str">
        <f>INDEX([1]Matches!$B$4:$J$113,MATCH($F87,[1]Matches!$B$4:$B$113,0),9)</f>
        <v>Ghana</v>
      </c>
      <c r="F87" s="27">
        <v>68</v>
      </c>
      <c r="G87" s="26" t="str">
        <f>INDEX([1]Matches!$B$4:$J$113,MATCH($F87,[1]Matches!$B$4:$B$113,0),2)</f>
        <v>L2</v>
      </c>
      <c r="H87" s="26" t="str">
        <f>INDEX([1]Matches!$B$4:$J$113,MATCH($F87,[1]Matches!$B$4:$B$113,0),3)</f>
        <v>L3</v>
      </c>
      <c r="I87" s="26" t="str">
        <f>IFERROR(VLOOKUP($F87,[1]Matches!$B$4:$H$113,7,0),"")</f>
        <v>Philadelphia</v>
      </c>
      <c r="J87" s="25"/>
      <c r="K87" s="24"/>
    </row>
    <row r="88" spans="2:11" x14ac:dyDescent="0.35">
      <c r="B88" s="30">
        <f>INDEX([1]Matches!$B$4:$J$113,MATCH($F88,[1]Matches!$B$4:$B$113,0),5)</f>
        <v>46201.0625</v>
      </c>
      <c r="C88" s="29">
        <f>INDEX([1]Matches!$B$4:$J$113,MATCH($F88,[1]Matches!$B$4:$B$113,0),5)</f>
        <v>46201.0625</v>
      </c>
      <c r="D88" s="37" t="str">
        <f>INDEX([1]Matches!$B$4:$J$113,MATCH($F88,[1]Matches!$B$4:$B$113,0),8)</f>
        <v>Colombia</v>
      </c>
      <c r="E88" s="37" t="str">
        <f>INDEX([1]Matches!$B$4:$J$113,MATCH($F88,[1]Matches!$B$4:$B$113,0),9)</f>
        <v>Portugal</v>
      </c>
      <c r="F88" s="27">
        <v>71</v>
      </c>
      <c r="G88" s="26" t="str">
        <f>INDEX([1]Matches!$B$4:$J$113,MATCH($F88,[1]Matches!$B$4:$B$113,0),2)</f>
        <v>K4</v>
      </c>
      <c r="H88" s="26" t="str">
        <f>INDEX([1]Matches!$B$4:$J$113,MATCH($F88,[1]Matches!$B$4:$B$113,0),3)</f>
        <v>K1</v>
      </c>
      <c r="I88" s="26" t="str">
        <f>IFERROR(VLOOKUP($F88,[1]Matches!$B$4:$H$113,7,0),"")</f>
        <v>Miami</v>
      </c>
      <c r="J88" s="25"/>
      <c r="K88" s="24"/>
    </row>
    <row r="89" spans="2:11" x14ac:dyDescent="0.35">
      <c r="B89" s="30">
        <f>INDEX([1]Matches!$B$4:$J$113,MATCH($F89,[1]Matches!$B$4:$B$113,0),5)</f>
        <v>46201.0625</v>
      </c>
      <c r="C89" s="29">
        <f>INDEX([1]Matches!$B$4:$J$113,MATCH($F89,[1]Matches!$B$4:$B$113,0),5)</f>
        <v>46201.0625</v>
      </c>
      <c r="D89" s="37" t="str">
        <f>INDEX([1]Matches!$B$4:$J$113,MATCH($F89,[1]Matches!$B$4:$B$113,0),8)</f>
        <v>DR Congo</v>
      </c>
      <c r="E89" s="37" t="str">
        <f>INDEX([1]Matches!$B$4:$J$113,MATCH($F89,[1]Matches!$B$4:$B$113,0),9)</f>
        <v>Uzbekistan</v>
      </c>
      <c r="F89" s="27">
        <v>72</v>
      </c>
      <c r="G89" s="26" t="str">
        <f>INDEX([1]Matches!$B$4:$J$113,MATCH($F89,[1]Matches!$B$4:$B$113,0),2)</f>
        <v>K2</v>
      </c>
      <c r="H89" s="26" t="str">
        <f>INDEX([1]Matches!$B$4:$J$113,MATCH($F89,[1]Matches!$B$4:$B$113,0),3)</f>
        <v>K3</v>
      </c>
      <c r="I89" s="26" t="str">
        <f>IFERROR(VLOOKUP($F89,[1]Matches!$B$4:$H$113,7,0),"")</f>
        <v>Atlanta</v>
      </c>
      <c r="J89" s="25"/>
      <c r="K89" s="24"/>
    </row>
    <row r="90" spans="2:11" x14ac:dyDescent="0.35">
      <c r="B90" s="30">
        <f>INDEX([1]Matches!$B$4:$J$113,MATCH($F90,[1]Matches!$B$4:$B$113,0),5)</f>
        <v>46201.166666666664</v>
      </c>
      <c r="C90" s="29">
        <f>INDEX([1]Matches!$B$4:$J$113,MATCH($F90,[1]Matches!$B$4:$B$113,0),5)</f>
        <v>46201.166666666664</v>
      </c>
      <c r="D90" s="37" t="str">
        <f>INDEX([1]Matches!$B$4:$J$113,MATCH($F90,[1]Matches!$B$4:$B$113,0),8)</f>
        <v>Algeria</v>
      </c>
      <c r="E90" s="37" t="str">
        <f>INDEX([1]Matches!$B$4:$J$113,MATCH($F90,[1]Matches!$B$4:$B$113,0),9)</f>
        <v>Austria</v>
      </c>
      <c r="F90" s="27">
        <v>69</v>
      </c>
      <c r="G90" s="26" t="str">
        <f>INDEX([1]Matches!$B$4:$J$113,MATCH($F90,[1]Matches!$B$4:$B$113,0),2)</f>
        <v>J2</v>
      </c>
      <c r="H90" s="26" t="str">
        <f>INDEX([1]Matches!$B$4:$J$113,MATCH($F90,[1]Matches!$B$4:$B$113,0),3)</f>
        <v>J3</v>
      </c>
      <c r="I90" s="26" t="str">
        <f>IFERROR(VLOOKUP($F90,[1]Matches!$B$4:$H$113,7,0),"")</f>
        <v>Kansas City</v>
      </c>
      <c r="J90" s="25"/>
      <c r="K90" s="24"/>
    </row>
    <row r="91" spans="2:11" x14ac:dyDescent="0.35">
      <c r="B91" s="30">
        <f>INDEX([1]Matches!$B$4:$J$113,MATCH($F91,[1]Matches!$B$4:$B$113,0),5)</f>
        <v>46201.166666666664</v>
      </c>
      <c r="C91" s="29">
        <f>INDEX([1]Matches!$B$4:$J$113,MATCH($F91,[1]Matches!$B$4:$B$113,0),5)</f>
        <v>46201.166666666664</v>
      </c>
      <c r="D91" s="37" t="str">
        <f>INDEX([1]Matches!$B$4:$J$113,MATCH($F91,[1]Matches!$B$4:$B$113,0),8)</f>
        <v>Jordan</v>
      </c>
      <c r="E91" s="37" t="str">
        <f>INDEX([1]Matches!$B$4:$J$113,MATCH($F91,[1]Matches!$B$4:$B$113,0),9)</f>
        <v>Argentina</v>
      </c>
      <c r="F91" s="27">
        <v>70</v>
      </c>
      <c r="G91" s="26" t="str">
        <f>INDEX([1]Matches!$B$4:$J$113,MATCH($F91,[1]Matches!$B$4:$B$113,0),2)</f>
        <v>J4</v>
      </c>
      <c r="H91" s="26" t="str">
        <f>INDEX([1]Matches!$B$4:$J$113,MATCH($F91,[1]Matches!$B$4:$B$113,0),3)</f>
        <v>J1</v>
      </c>
      <c r="I91" s="26" t="str">
        <f>IFERROR(VLOOKUP($F91,[1]Matches!$B$4:$H$113,7,0),"")</f>
        <v>Dallas</v>
      </c>
      <c r="J91" s="25"/>
      <c r="K91" s="24"/>
    </row>
    <row r="92" spans="2:11" x14ac:dyDescent="0.35">
      <c r="B92" s="23"/>
      <c r="C92" s="22"/>
      <c r="D92" s="21"/>
      <c r="E92" s="21"/>
      <c r="F92" s="20"/>
      <c r="G92" s="19"/>
      <c r="H92" s="40"/>
      <c r="I92" s="40"/>
      <c r="J92" s="40"/>
      <c r="K92" s="39"/>
    </row>
    <row r="93" spans="2:11" x14ac:dyDescent="0.35">
      <c r="B93" s="17" t="str">
        <f>[1]Language!$E$256</f>
        <v>Round of 32</v>
      </c>
      <c r="C93" s="16"/>
      <c r="D93" s="15"/>
      <c r="E93" s="15"/>
      <c r="F93" s="14"/>
      <c r="G93" s="13"/>
      <c r="H93" s="12"/>
      <c r="I93" s="12"/>
      <c r="J93" s="11"/>
      <c r="K93" s="10"/>
    </row>
    <row r="94" spans="2:11" x14ac:dyDescent="0.35">
      <c r="B94" s="30">
        <f>INDEX([1]Matches!$B$4:$J$113,MATCH($F94,[1]Matches!$B$4:$B$113,0),5)</f>
        <v>46201.875</v>
      </c>
      <c r="C94" s="29">
        <f>INDEX([1]Matches!$B$4:$J$113,MATCH($F94,[1]Matches!$B$4:$B$113,0),5)</f>
        <v>46201.875</v>
      </c>
      <c r="D94" s="37" t="str">
        <f>INDEX([1]Matches!$B$4:$J$113,MATCH($F94,[1]Matches!$B$4:$B$113,0),8)</f>
        <v/>
      </c>
      <c r="E94" s="37" t="str">
        <f>INDEX([1]Matches!$B$4:$J$113,MATCH($F94,[1]Matches!$B$4:$B$113,0),9)</f>
        <v/>
      </c>
      <c r="F94" s="27">
        <v>73</v>
      </c>
      <c r="G94" s="26" t="str">
        <f>INDEX([1]Matches!$B$4:$J$113,MATCH($F94,[1]Matches!$B$4:$B$113,0),2)</f>
        <v>2A</v>
      </c>
      <c r="H94" s="26" t="str">
        <f>INDEX([1]Matches!$B$4:$J$113,MATCH($F94,[1]Matches!$B$4:$B$113,0),3)</f>
        <v>2B</v>
      </c>
      <c r="I94" s="26" t="str">
        <f>IFERROR(VLOOKUP($F94,[1]Matches!$B$4:$H$113,7,0),"")</f>
        <v>Los Angeles</v>
      </c>
      <c r="J94" s="25"/>
      <c r="K94" s="24"/>
    </row>
    <row r="95" spans="2:11" x14ac:dyDescent="0.35">
      <c r="B95" s="30"/>
      <c r="C95" s="29"/>
      <c r="D95" s="38"/>
      <c r="E95" s="38"/>
      <c r="F95" s="27"/>
      <c r="G95" s="26"/>
      <c r="H95" s="26"/>
      <c r="I95" s="26"/>
      <c r="J95" s="35"/>
      <c r="K95" s="34"/>
    </row>
    <row r="96" spans="2:11" x14ac:dyDescent="0.35">
      <c r="B96" s="30">
        <f>INDEX([1]Matches!$B$4:$J$113,MATCH($F96,[1]Matches!$B$4:$B$113,0),5)</f>
        <v>46202.791666666664</v>
      </c>
      <c r="C96" s="29">
        <f>INDEX([1]Matches!$B$4:$J$113,MATCH($F96,[1]Matches!$B$4:$B$113,0),5)</f>
        <v>46202.791666666664</v>
      </c>
      <c r="D96" s="37" t="str">
        <f>INDEX([1]Matches!$B$4:$J$113,MATCH($F96,[1]Matches!$B$4:$B$113,0),8)</f>
        <v/>
      </c>
      <c r="E96" s="37" t="str">
        <f>INDEX([1]Matches!$B$4:$J$113,MATCH($F96,[1]Matches!$B$4:$B$113,0),9)</f>
        <v/>
      </c>
      <c r="F96" s="27">
        <v>76</v>
      </c>
      <c r="G96" s="26" t="str">
        <f>INDEX([1]Matches!$B$4:$J$113,MATCH($F96,[1]Matches!$B$4:$B$113,0),2)</f>
        <v>1C</v>
      </c>
      <c r="H96" s="26" t="str">
        <f>INDEX([1]Matches!$B$4:$J$113,MATCH($F96,[1]Matches!$B$4:$B$113,0),3)</f>
        <v>2F</v>
      </c>
      <c r="I96" s="26" t="str">
        <f>IFERROR(VLOOKUP($F96,[1]Matches!$B$4:$H$113,7,0),"")</f>
        <v>Houston</v>
      </c>
      <c r="J96" s="25"/>
      <c r="K96" s="24"/>
    </row>
    <row r="97" spans="2:11" x14ac:dyDescent="0.35">
      <c r="B97" s="30">
        <f>INDEX([1]Matches!$B$4:$J$113,MATCH($F97,[1]Matches!$B$4:$B$113,0),5)</f>
        <v>46202.9375</v>
      </c>
      <c r="C97" s="29">
        <f>INDEX([1]Matches!$B$4:$J$113,MATCH($F97,[1]Matches!$B$4:$B$113,0),5)</f>
        <v>46202.9375</v>
      </c>
      <c r="D97" s="37" t="str">
        <f>INDEX([1]Matches!$B$4:$J$113,MATCH($F97,[1]Matches!$B$4:$B$113,0),8)</f>
        <v/>
      </c>
      <c r="E97" s="37" t="str">
        <f>INDEX([1]Matches!$B$4:$J$113,MATCH($F97,[1]Matches!$B$4:$B$113,0),9)</f>
        <v/>
      </c>
      <c r="F97" s="27">
        <v>74</v>
      </c>
      <c r="G97" s="26" t="str">
        <f>INDEX([1]Matches!$B$4:$J$113,MATCH($F97,[1]Matches!$B$4:$B$113,0),2)</f>
        <v>1E</v>
      </c>
      <c r="H97" s="26" t="str">
        <f>INDEX([1]Matches!$B$4:$J$113,MATCH($F97,[1]Matches!$B$4:$B$113,0),3)</f>
        <v>3-ABCDF</v>
      </c>
      <c r="I97" s="26" t="str">
        <f>IFERROR(VLOOKUP($F97,[1]Matches!$B$4:$H$113,7,0),"")</f>
        <v>Boston</v>
      </c>
      <c r="J97" s="25"/>
      <c r="K97" s="24"/>
    </row>
    <row r="98" spans="2:11" x14ac:dyDescent="0.35">
      <c r="B98" s="30">
        <f>INDEX([1]Matches!$B$4:$J$113,MATCH($F98,[1]Matches!$B$4:$B$113,0),5)</f>
        <v>46203.125</v>
      </c>
      <c r="C98" s="29">
        <f>INDEX([1]Matches!$B$4:$J$113,MATCH($F98,[1]Matches!$B$4:$B$113,0),5)</f>
        <v>46203.125</v>
      </c>
      <c r="D98" s="37" t="str">
        <f>INDEX([1]Matches!$B$4:$J$113,MATCH($F98,[1]Matches!$B$4:$B$113,0),8)</f>
        <v/>
      </c>
      <c r="E98" s="37" t="str">
        <f>INDEX([1]Matches!$B$4:$J$113,MATCH($F98,[1]Matches!$B$4:$B$113,0),9)</f>
        <v/>
      </c>
      <c r="F98" s="27">
        <v>75</v>
      </c>
      <c r="G98" s="26" t="str">
        <f>INDEX([1]Matches!$B$4:$J$113,MATCH($F98,[1]Matches!$B$4:$B$113,0),2)</f>
        <v>1F</v>
      </c>
      <c r="H98" s="26" t="str">
        <f>INDEX([1]Matches!$B$4:$J$113,MATCH($F98,[1]Matches!$B$4:$B$113,0),3)</f>
        <v>2C</v>
      </c>
      <c r="I98" s="26" t="str">
        <f>IFERROR(VLOOKUP($F98,[1]Matches!$B$4:$H$113,7,0),"")</f>
        <v>Monterrey</v>
      </c>
      <c r="J98" s="25"/>
      <c r="K98" s="24"/>
    </row>
    <row r="99" spans="2:11" x14ac:dyDescent="0.35">
      <c r="B99" s="23"/>
      <c r="C99" s="22"/>
      <c r="D99" s="21"/>
      <c r="E99" s="21"/>
      <c r="F99" s="20"/>
      <c r="G99" s="19"/>
      <c r="H99" s="19"/>
      <c r="I99" s="19"/>
      <c r="J99" s="19"/>
      <c r="K99" s="18"/>
    </row>
    <row r="100" spans="2:11" x14ac:dyDescent="0.35">
      <c r="B100" s="30">
        <f>INDEX([1]Matches!$B$4:$J$113,MATCH($F100,[1]Matches!$B$4:$B$113,0),5)</f>
        <v>46203.791666666664</v>
      </c>
      <c r="C100" s="29">
        <f>INDEX([1]Matches!$B$4:$J$113,MATCH($F100,[1]Matches!$B$4:$B$113,0),5)</f>
        <v>46203.791666666664</v>
      </c>
      <c r="D100" s="37" t="str">
        <f>INDEX([1]Matches!$B$4:$J$113,MATCH($F100,[1]Matches!$B$4:$B$113,0),8)</f>
        <v/>
      </c>
      <c r="E100" s="37" t="str">
        <f>INDEX([1]Matches!$B$4:$J$113,MATCH($F100,[1]Matches!$B$4:$B$113,0),9)</f>
        <v/>
      </c>
      <c r="F100" s="27">
        <v>78</v>
      </c>
      <c r="G100" s="26" t="str">
        <f>INDEX([1]Matches!$B$4:$J$113,MATCH($F100,[1]Matches!$B$4:$B$113,0),2)</f>
        <v>2E</v>
      </c>
      <c r="H100" s="26" t="str">
        <f>INDEX([1]Matches!$B$4:$J$113,MATCH($F100,[1]Matches!$B$4:$B$113,0),3)</f>
        <v>2I</v>
      </c>
      <c r="I100" s="26" t="str">
        <f>IFERROR(VLOOKUP($F100,[1]Matches!$B$4:$H$113,7,0),"")</f>
        <v>Dallas</v>
      </c>
      <c r="J100" s="25"/>
      <c r="K100" s="24"/>
    </row>
    <row r="101" spans="2:11" x14ac:dyDescent="0.35">
      <c r="B101" s="30">
        <f>INDEX([1]Matches!$B$4:$J$113,MATCH($F101,[1]Matches!$B$4:$B$113,0),5)</f>
        <v>46203.958333333336</v>
      </c>
      <c r="C101" s="29">
        <f>INDEX([1]Matches!$B$4:$J$113,MATCH($F101,[1]Matches!$B$4:$B$113,0),5)</f>
        <v>46203.958333333336</v>
      </c>
      <c r="D101" s="37" t="str">
        <f>INDEX([1]Matches!$B$4:$J$113,MATCH($F101,[1]Matches!$B$4:$B$113,0),8)</f>
        <v/>
      </c>
      <c r="E101" s="37" t="str">
        <f>INDEX([1]Matches!$B$4:$J$113,MATCH($F101,[1]Matches!$B$4:$B$113,0),9)</f>
        <v/>
      </c>
      <c r="F101" s="27">
        <v>77</v>
      </c>
      <c r="G101" s="26" t="str">
        <f>INDEX([1]Matches!$B$4:$J$113,MATCH($F101,[1]Matches!$B$4:$B$113,0),2)</f>
        <v>1I</v>
      </c>
      <c r="H101" s="26" t="str">
        <f>INDEX([1]Matches!$B$4:$J$113,MATCH($F101,[1]Matches!$B$4:$B$113,0),3)</f>
        <v>3-CDFGH</v>
      </c>
      <c r="I101" s="26" t="str">
        <f>IFERROR(VLOOKUP($F101,[1]Matches!$B$4:$H$113,7,0),"")</f>
        <v>New York/New Jersey</v>
      </c>
      <c r="J101" s="25"/>
      <c r="K101" s="24"/>
    </row>
    <row r="102" spans="2:11" x14ac:dyDescent="0.35">
      <c r="B102" s="30">
        <f>INDEX([1]Matches!$B$4:$J$113,MATCH($F102,[1]Matches!$B$4:$B$113,0),5)</f>
        <v>46204.125</v>
      </c>
      <c r="C102" s="29">
        <f>INDEX([1]Matches!$B$4:$J$113,MATCH($F102,[1]Matches!$B$4:$B$113,0),5)</f>
        <v>46204.125</v>
      </c>
      <c r="D102" s="37" t="str">
        <f>INDEX([1]Matches!$B$4:$J$113,MATCH($F102,[1]Matches!$B$4:$B$113,0),8)</f>
        <v/>
      </c>
      <c r="E102" s="37" t="str">
        <f>INDEX([1]Matches!$B$4:$J$113,MATCH($F102,[1]Matches!$B$4:$B$113,0),9)</f>
        <v/>
      </c>
      <c r="F102" s="27">
        <v>79</v>
      </c>
      <c r="G102" s="26" t="str">
        <f>INDEX([1]Matches!$B$4:$J$113,MATCH($F102,[1]Matches!$B$4:$B$113,0),2)</f>
        <v>1A</v>
      </c>
      <c r="H102" s="26" t="str">
        <f>INDEX([1]Matches!$B$4:$J$113,MATCH($F102,[1]Matches!$B$4:$B$113,0),3)</f>
        <v>3-CEFHI</v>
      </c>
      <c r="I102" s="26" t="str">
        <f>IFERROR(VLOOKUP($F102,[1]Matches!$B$4:$H$113,7,0),"")</f>
        <v>Mexico City</v>
      </c>
      <c r="J102" s="25"/>
      <c r="K102" s="24"/>
    </row>
    <row r="103" spans="2:11" x14ac:dyDescent="0.35">
      <c r="B103" s="30"/>
      <c r="C103" s="29"/>
      <c r="D103" s="38"/>
      <c r="E103" s="38"/>
      <c r="F103" s="27"/>
      <c r="G103" s="26"/>
      <c r="H103" s="26"/>
      <c r="I103" s="26"/>
      <c r="J103" s="35"/>
      <c r="K103" s="34"/>
    </row>
    <row r="104" spans="2:11" x14ac:dyDescent="0.35">
      <c r="B104" s="30">
        <f>INDEX([1]Matches!$B$4:$J$113,MATCH($F104,[1]Matches!$B$4:$B$113,0),5)</f>
        <v>46204.75</v>
      </c>
      <c r="C104" s="29">
        <f>INDEX([1]Matches!$B$4:$J$113,MATCH($F104,[1]Matches!$B$4:$B$113,0),5)</f>
        <v>46204.75</v>
      </c>
      <c r="D104" s="37" t="str">
        <f>INDEX([1]Matches!$B$4:$J$113,MATCH($F104,[1]Matches!$B$4:$B$113,0),8)</f>
        <v/>
      </c>
      <c r="E104" s="37" t="str">
        <f>INDEX([1]Matches!$B$4:$J$113,MATCH($F104,[1]Matches!$B$4:$B$113,0),9)</f>
        <v/>
      </c>
      <c r="F104" s="27">
        <v>80</v>
      </c>
      <c r="G104" s="26" t="str">
        <f>INDEX([1]Matches!$B$4:$J$113,MATCH($F104,[1]Matches!$B$4:$B$113,0),2)</f>
        <v>1L</v>
      </c>
      <c r="H104" s="26" t="str">
        <f>INDEX([1]Matches!$B$4:$J$113,MATCH($F104,[1]Matches!$B$4:$B$113,0),3)</f>
        <v>3-EHIJK</v>
      </c>
      <c r="I104" s="26" t="str">
        <f>IFERROR(VLOOKUP($F104,[1]Matches!$B$4:$H$113,7,0),"")</f>
        <v>Atlanta</v>
      </c>
      <c r="J104" s="25"/>
      <c r="K104" s="24"/>
    </row>
    <row r="105" spans="2:11" x14ac:dyDescent="0.35">
      <c r="B105" s="30">
        <f>INDEX([1]Matches!$B$4:$J$113,MATCH($F105,[1]Matches!$B$4:$B$113,0),5)</f>
        <v>46204.916666666664</v>
      </c>
      <c r="C105" s="29">
        <f>INDEX([1]Matches!$B$4:$J$113,MATCH($F105,[1]Matches!$B$4:$B$113,0),5)</f>
        <v>46204.916666666664</v>
      </c>
      <c r="D105" s="37" t="str">
        <f>INDEX([1]Matches!$B$4:$J$113,MATCH($F105,[1]Matches!$B$4:$B$113,0),8)</f>
        <v/>
      </c>
      <c r="E105" s="37" t="str">
        <f>INDEX([1]Matches!$B$4:$J$113,MATCH($F105,[1]Matches!$B$4:$B$113,0),9)</f>
        <v/>
      </c>
      <c r="F105" s="27">
        <v>82</v>
      </c>
      <c r="G105" s="26" t="str">
        <f>INDEX([1]Matches!$B$4:$J$113,MATCH($F105,[1]Matches!$B$4:$B$113,0),2)</f>
        <v>1G</v>
      </c>
      <c r="H105" s="26" t="str">
        <f>INDEX([1]Matches!$B$4:$J$113,MATCH($F105,[1]Matches!$B$4:$B$113,0),3)</f>
        <v>3-AEHIJ</v>
      </c>
      <c r="I105" s="26" t="str">
        <f>IFERROR(VLOOKUP($F105,[1]Matches!$B$4:$H$113,7,0),"")</f>
        <v>Seattle</v>
      </c>
      <c r="J105" s="25"/>
      <c r="K105" s="24"/>
    </row>
    <row r="106" spans="2:11" x14ac:dyDescent="0.35">
      <c r="B106" s="30">
        <f>INDEX([1]Matches!$B$4:$J$113,MATCH($F106,[1]Matches!$B$4:$B$113,0),5)</f>
        <v>46205.083333333336</v>
      </c>
      <c r="C106" s="29">
        <f>INDEX([1]Matches!$B$4:$J$113,MATCH($F106,[1]Matches!$B$4:$B$113,0),5)</f>
        <v>46205.083333333336</v>
      </c>
      <c r="D106" s="37" t="str">
        <f>INDEX([1]Matches!$B$4:$J$113,MATCH($F106,[1]Matches!$B$4:$B$113,0),8)</f>
        <v/>
      </c>
      <c r="E106" s="37" t="str">
        <f>INDEX([1]Matches!$B$4:$J$113,MATCH($F106,[1]Matches!$B$4:$B$113,0),9)</f>
        <v/>
      </c>
      <c r="F106" s="27">
        <v>81</v>
      </c>
      <c r="G106" s="26" t="str">
        <f>INDEX([1]Matches!$B$4:$J$113,MATCH($F106,[1]Matches!$B$4:$B$113,0),2)</f>
        <v>1D</v>
      </c>
      <c r="H106" s="26" t="str">
        <f>INDEX([1]Matches!$B$4:$J$113,MATCH($F106,[1]Matches!$B$4:$B$113,0),3)</f>
        <v>3-BEFIJ</v>
      </c>
      <c r="I106" s="26" t="str">
        <f>IFERROR(VLOOKUP($F106,[1]Matches!$B$4:$H$113,7,0),"")</f>
        <v>San Francisco Bay Area</v>
      </c>
      <c r="J106" s="25"/>
      <c r="K106" s="24"/>
    </row>
    <row r="107" spans="2:11" x14ac:dyDescent="0.35">
      <c r="B107" s="23"/>
      <c r="C107" s="22"/>
      <c r="D107" s="21"/>
      <c r="E107" s="21"/>
      <c r="F107" s="20"/>
      <c r="G107" s="19"/>
      <c r="H107" s="19"/>
      <c r="I107" s="19"/>
      <c r="J107" s="19"/>
      <c r="K107" s="18"/>
    </row>
    <row r="108" spans="2:11" x14ac:dyDescent="0.35">
      <c r="B108" s="30">
        <f>INDEX([1]Matches!$B$4:$J$113,MATCH($F108,[1]Matches!$B$4:$B$113,0),5)</f>
        <v>46205.875</v>
      </c>
      <c r="C108" s="29">
        <f>INDEX([1]Matches!$B$4:$J$113,MATCH($F108,[1]Matches!$B$4:$B$113,0),5)</f>
        <v>46205.875</v>
      </c>
      <c r="D108" s="37" t="str">
        <f>INDEX([1]Matches!$B$4:$J$113,MATCH($F108,[1]Matches!$B$4:$B$113,0),8)</f>
        <v/>
      </c>
      <c r="E108" s="37" t="str">
        <f>INDEX([1]Matches!$B$4:$J$113,MATCH($F108,[1]Matches!$B$4:$B$113,0),9)</f>
        <v/>
      </c>
      <c r="F108" s="27">
        <v>84</v>
      </c>
      <c r="G108" s="26" t="str">
        <f>INDEX([1]Matches!$B$4:$J$113,MATCH($F108,[1]Matches!$B$4:$B$113,0),2)</f>
        <v>1H</v>
      </c>
      <c r="H108" s="26" t="str">
        <f>INDEX([1]Matches!$B$4:$J$113,MATCH($F108,[1]Matches!$B$4:$B$113,0),3)</f>
        <v>2J</v>
      </c>
      <c r="I108" s="26" t="str">
        <f>IFERROR(VLOOKUP($F108,[1]Matches!$B$4:$H$113,7,0),"")</f>
        <v>Los Angeles</v>
      </c>
      <c r="J108" s="25"/>
      <c r="K108" s="24"/>
    </row>
    <row r="109" spans="2:11" x14ac:dyDescent="0.35">
      <c r="B109" s="30">
        <f>INDEX([1]Matches!$B$4:$J$113,MATCH($F109,[1]Matches!$B$4:$B$113,0),5)</f>
        <v>46206.041666666664</v>
      </c>
      <c r="C109" s="29">
        <f>INDEX([1]Matches!$B$4:$J$113,MATCH($F109,[1]Matches!$B$4:$B$113,0),5)</f>
        <v>46206.041666666664</v>
      </c>
      <c r="D109" s="37" t="str">
        <f>INDEX([1]Matches!$B$4:$J$113,MATCH($F109,[1]Matches!$B$4:$B$113,0),8)</f>
        <v/>
      </c>
      <c r="E109" s="37" t="str">
        <f>INDEX([1]Matches!$B$4:$J$113,MATCH($F109,[1]Matches!$B$4:$B$113,0),9)</f>
        <v/>
      </c>
      <c r="F109" s="27">
        <v>83</v>
      </c>
      <c r="G109" s="26" t="str">
        <f>INDEX([1]Matches!$B$4:$J$113,MATCH($F109,[1]Matches!$B$4:$B$113,0),2)</f>
        <v>2K</v>
      </c>
      <c r="H109" s="26" t="str">
        <f>INDEX([1]Matches!$B$4:$J$113,MATCH($F109,[1]Matches!$B$4:$B$113,0),3)</f>
        <v>2L</v>
      </c>
      <c r="I109" s="26" t="str">
        <f>IFERROR(VLOOKUP($F109,[1]Matches!$B$4:$H$113,7,0),"")</f>
        <v>Toronto</v>
      </c>
      <c r="J109" s="25"/>
      <c r="K109" s="24"/>
    </row>
    <row r="110" spans="2:11" x14ac:dyDescent="0.35">
      <c r="B110" s="30">
        <f>INDEX([1]Matches!$B$4:$J$113,MATCH($F110,[1]Matches!$B$4:$B$113,0),5)</f>
        <v>46206.208333333336</v>
      </c>
      <c r="C110" s="29">
        <f>INDEX([1]Matches!$B$4:$J$113,MATCH($F110,[1]Matches!$B$4:$B$113,0),5)</f>
        <v>46206.208333333336</v>
      </c>
      <c r="D110" s="37" t="str">
        <f>INDEX([1]Matches!$B$4:$J$113,MATCH($F110,[1]Matches!$B$4:$B$113,0),8)</f>
        <v/>
      </c>
      <c r="E110" s="37" t="str">
        <f>INDEX([1]Matches!$B$4:$J$113,MATCH($F110,[1]Matches!$B$4:$B$113,0),9)</f>
        <v/>
      </c>
      <c r="F110" s="27">
        <v>85</v>
      </c>
      <c r="G110" s="26" t="str">
        <f>INDEX([1]Matches!$B$4:$J$113,MATCH($F110,[1]Matches!$B$4:$B$113,0),2)</f>
        <v>1B</v>
      </c>
      <c r="H110" s="26" t="str">
        <f>INDEX([1]Matches!$B$4:$J$113,MATCH($F110,[1]Matches!$B$4:$B$113,0),3)</f>
        <v>3-EFGIJ</v>
      </c>
      <c r="I110" s="26" t="str">
        <f>IFERROR(VLOOKUP($F110,[1]Matches!$B$4:$H$113,7,0),"")</f>
        <v>Vancouver</v>
      </c>
      <c r="J110" s="25"/>
      <c r="K110" s="24"/>
    </row>
    <row r="111" spans="2:11" x14ac:dyDescent="0.35">
      <c r="B111" s="30"/>
      <c r="C111" s="29"/>
      <c r="D111" s="38"/>
      <c r="E111" s="38"/>
      <c r="F111" s="27"/>
      <c r="G111" s="26"/>
      <c r="H111" s="26"/>
      <c r="I111" s="26"/>
      <c r="J111" s="35"/>
      <c r="K111" s="34"/>
    </row>
    <row r="112" spans="2:11" x14ac:dyDescent="0.35">
      <c r="B112" s="30">
        <f>INDEX([1]Matches!$B$4:$J$113,MATCH($F112,[1]Matches!$B$4:$B$113,0),5)</f>
        <v>46206.833333333336</v>
      </c>
      <c r="C112" s="29">
        <f>INDEX([1]Matches!$B$4:$J$113,MATCH($F112,[1]Matches!$B$4:$B$113,0),5)</f>
        <v>46206.833333333336</v>
      </c>
      <c r="D112" s="37" t="str">
        <f>INDEX([1]Matches!$B$4:$J$113,MATCH($F112,[1]Matches!$B$4:$B$113,0),8)</f>
        <v/>
      </c>
      <c r="E112" s="37" t="str">
        <f>INDEX([1]Matches!$B$4:$J$113,MATCH($F112,[1]Matches!$B$4:$B$113,0),9)</f>
        <v/>
      </c>
      <c r="F112" s="27">
        <v>88</v>
      </c>
      <c r="G112" s="26" t="str">
        <f>INDEX([1]Matches!$B$4:$J$113,MATCH($F112,[1]Matches!$B$4:$B$113,0),2)</f>
        <v>2D</v>
      </c>
      <c r="H112" s="26" t="str">
        <f>INDEX([1]Matches!$B$4:$J$113,MATCH($F112,[1]Matches!$B$4:$B$113,0),3)</f>
        <v>2G</v>
      </c>
      <c r="I112" s="26" t="str">
        <f>IFERROR(VLOOKUP($F112,[1]Matches!$B$4:$H$113,7,0),"")</f>
        <v>Dallas</v>
      </c>
      <c r="J112" s="25"/>
      <c r="K112" s="24"/>
    </row>
    <row r="113" spans="2:11" x14ac:dyDescent="0.35">
      <c r="B113" s="30">
        <f>INDEX([1]Matches!$B$4:$J$113,MATCH($F113,[1]Matches!$B$4:$B$113,0),5)</f>
        <v>46207</v>
      </c>
      <c r="C113" s="29">
        <f>INDEX([1]Matches!$B$4:$J$113,MATCH($F113,[1]Matches!$B$4:$B$113,0),5)</f>
        <v>46207</v>
      </c>
      <c r="D113" s="37" t="str">
        <f>INDEX([1]Matches!$B$4:$J$113,MATCH($F113,[1]Matches!$B$4:$B$113,0),8)</f>
        <v/>
      </c>
      <c r="E113" s="37" t="str">
        <f>INDEX([1]Matches!$B$4:$J$113,MATCH($F113,[1]Matches!$B$4:$B$113,0),9)</f>
        <v/>
      </c>
      <c r="F113" s="27">
        <v>86</v>
      </c>
      <c r="G113" s="26" t="str">
        <f>INDEX([1]Matches!$B$4:$J$113,MATCH($F113,[1]Matches!$B$4:$B$113,0),2)</f>
        <v>1J</v>
      </c>
      <c r="H113" s="26" t="str">
        <f>INDEX([1]Matches!$B$4:$J$113,MATCH($F113,[1]Matches!$B$4:$B$113,0),3)</f>
        <v>2H</v>
      </c>
      <c r="I113" s="26" t="str">
        <f>IFERROR(VLOOKUP($F113,[1]Matches!$B$4:$H$113,7,0),"")</f>
        <v>Miami</v>
      </c>
      <c r="J113" s="25"/>
      <c r="K113" s="24"/>
    </row>
    <row r="114" spans="2:11" x14ac:dyDescent="0.35">
      <c r="B114" s="30">
        <f>INDEX([1]Matches!$B$4:$J$113,MATCH($F114,[1]Matches!$B$4:$B$113,0),5)</f>
        <v>46207.145833333336</v>
      </c>
      <c r="C114" s="29">
        <f>INDEX([1]Matches!$B$4:$J$113,MATCH($F114,[1]Matches!$B$4:$B$113,0),5)</f>
        <v>46207.145833333336</v>
      </c>
      <c r="D114" s="37" t="str">
        <f>INDEX([1]Matches!$B$4:$J$113,MATCH($F114,[1]Matches!$B$4:$B$113,0),8)</f>
        <v/>
      </c>
      <c r="E114" s="37" t="str">
        <f>INDEX([1]Matches!$B$4:$J$113,MATCH($F114,[1]Matches!$B$4:$B$113,0),9)</f>
        <v/>
      </c>
      <c r="F114" s="27">
        <v>87</v>
      </c>
      <c r="G114" s="26" t="str">
        <f>INDEX([1]Matches!$B$4:$J$113,MATCH($F114,[1]Matches!$B$4:$B$113,0),2)</f>
        <v>1K</v>
      </c>
      <c r="H114" s="26" t="str">
        <f>INDEX([1]Matches!$B$4:$J$113,MATCH($F114,[1]Matches!$B$4:$B$113,0),3)</f>
        <v>3-DEIJL</v>
      </c>
      <c r="I114" s="26" t="str">
        <f>IFERROR(VLOOKUP($F114,[1]Matches!$B$4:$H$113,7,0),"")</f>
        <v>Kansas City</v>
      </c>
      <c r="J114" s="25"/>
      <c r="K114" s="24"/>
    </row>
    <row r="115" spans="2:11" x14ac:dyDescent="0.35">
      <c r="B115" s="23"/>
      <c r="C115" s="22"/>
      <c r="D115" s="21"/>
      <c r="E115" s="21"/>
      <c r="F115" s="20"/>
      <c r="G115" s="19"/>
      <c r="H115" s="19"/>
      <c r="I115" s="19"/>
      <c r="J115" s="19"/>
      <c r="K115" s="18"/>
    </row>
    <row r="116" spans="2:11" x14ac:dyDescent="0.35">
      <c r="B116" s="17" t="str">
        <f>[1]Language!$E$257</f>
        <v>Round of 16</v>
      </c>
      <c r="C116" s="16"/>
      <c r="D116" s="15"/>
      <c r="E116" s="15"/>
      <c r="F116" s="14"/>
      <c r="G116" s="13"/>
      <c r="H116" s="12"/>
      <c r="I116" s="12"/>
      <c r="J116" s="11"/>
      <c r="K116" s="10"/>
    </row>
    <row r="117" spans="2:11" x14ac:dyDescent="0.35">
      <c r="B117" s="30">
        <f>INDEX([1]Matches!$B$4:$J$113,MATCH($F117,[1]Matches!$B$4:$B$113,0),5)</f>
        <v>46207.791666666664</v>
      </c>
      <c r="C117" s="29">
        <f>INDEX([1]Matches!$B$4:$J$113,MATCH($F117,[1]Matches!$B$4:$B$113,0),5)</f>
        <v>46207.791666666664</v>
      </c>
      <c r="D117" s="28" t="str">
        <f>'[1]World Cup'!$E$60</f>
        <v/>
      </c>
      <c r="E117" s="28" t="str">
        <f>'[1]World Cup'!$F$60</f>
        <v/>
      </c>
      <c r="F117" s="27">
        <v>90</v>
      </c>
      <c r="G117" s="26" t="str">
        <f>INDEX([1]Matches!$B$4:$J$113,MATCH($F117,[1]Matches!$B$4:$B$113,0),2)</f>
        <v>W73</v>
      </c>
      <c r="H117" s="26" t="str">
        <f>INDEX([1]Matches!$B$4:$J$113,MATCH($F117,[1]Matches!$B$4:$B$113,0),3)</f>
        <v>W75</v>
      </c>
      <c r="I117" s="26" t="str">
        <f>IFERROR(VLOOKUP($F117,[1]Matches!$B$4:$H$113,7,0),"")</f>
        <v>Houston</v>
      </c>
      <c r="J117" s="25"/>
      <c r="K117" s="24"/>
    </row>
    <row r="118" spans="2:11" x14ac:dyDescent="0.35">
      <c r="B118" s="30">
        <f>INDEX([1]Matches!$B$4:$J$113,MATCH($F118,[1]Matches!$B$4:$B$113,0),5)</f>
        <v>46207.958333333336</v>
      </c>
      <c r="C118" s="29">
        <f>INDEX([1]Matches!$B$4:$J$113,MATCH($F118,[1]Matches!$B$4:$B$113,0),5)</f>
        <v>46207.958333333336</v>
      </c>
      <c r="D118" s="28" t="str">
        <f>'[1]World Cup'!$B$60</f>
        <v/>
      </c>
      <c r="E118" s="28" t="str">
        <f>'[1]World Cup'!$C$60</f>
        <v/>
      </c>
      <c r="F118" s="27">
        <v>89</v>
      </c>
      <c r="G118" s="26" t="str">
        <f>INDEX([1]Matches!$B$4:$J$113,MATCH($F118,[1]Matches!$B$4:$B$113,0),2)</f>
        <v>W74</v>
      </c>
      <c r="H118" s="26" t="str">
        <f>INDEX([1]Matches!$B$4:$J$113,MATCH($F118,[1]Matches!$B$4:$B$113,0),3)</f>
        <v>W77</v>
      </c>
      <c r="I118" s="26" t="str">
        <f>IFERROR(VLOOKUP($F118,[1]Matches!$B$4:$H$113,7,0),"")</f>
        <v>Philadelphia</v>
      </c>
      <c r="J118" s="25"/>
      <c r="K118" s="24"/>
    </row>
    <row r="119" spans="2:11" x14ac:dyDescent="0.35">
      <c r="B119" s="23"/>
      <c r="C119" s="22"/>
      <c r="D119" s="21"/>
      <c r="E119" s="21"/>
      <c r="F119" s="20"/>
      <c r="G119" s="19"/>
      <c r="H119" s="19"/>
      <c r="I119" s="19"/>
      <c r="J119" s="19"/>
      <c r="K119" s="18"/>
    </row>
    <row r="120" spans="2:11" x14ac:dyDescent="0.35">
      <c r="B120" s="30">
        <f>INDEX([1]Matches!$B$4:$J$113,MATCH($F120,[1]Matches!$B$4:$B$113,0),5)</f>
        <v>46208.916666666664</v>
      </c>
      <c r="C120" s="29">
        <f>INDEX([1]Matches!$B$4:$J$113,MATCH($F120,[1]Matches!$B$4:$B$113,0),5)</f>
        <v>46208.916666666664</v>
      </c>
      <c r="D120" s="28" t="str">
        <f>'[1]World Cup'!$N$60</f>
        <v/>
      </c>
      <c r="E120" s="28" t="str">
        <f>'[1]World Cup'!$O$60</f>
        <v/>
      </c>
      <c r="F120" s="27">
        <v>91</v>
      </c>
      <c r="G120" s="26" t="str">
        <f>INDEX([1]Matches!$B$4:$J$113,MATCH($F120,[1]Matches!$B$4:$B$113,0),2)</f>
        <v>W76</v>
      </c>
      <c r="H120" s="26" t="str">
        <f>INDEX([1]Matches!$B$4:$J$113,MATCH($F120,[1]Matches!$B$4:$B$113,0),3)</f>
        <v>W78</v>
      </c>
      <c r="I120" s="26" t="str">
        <f>IFERROR(VLOOKUP($F120,[1]Matches!$B$4:$H$113,7,0),"")</f>
        <v>New York/New Jersey</v>
      </c>
      <c r="J120" s="25"/>
      <c r="K120" s="24"/>
    </row>
    <row r="121" spans="2:11" x14ac:dyDescent="0.35">
      <c r="B121" s="30">
        <f>INDEX([1]Matches!$B$4:$J$113,MATCH($F121,[1]Matches!$B$4:$B$113,0),5)</f>
        <v>46209.083333333336</v>
      </c>
      <c r="C121" s="29">
        <f>INDEX([1]Matches!$B$4:$J$113,MATCH($F121,[1]Matches!$B$4:$B$113,0),5)</f>
        <v>46209.083333333336</v>
      </c>
      <c r="D121" s="28" t="str">
        <f>'[1]World Cup'!$Q$60</f>
        <v/>
      </c>
      <c r="E121" s="28" t="str">
        <f>'[1]World Cup'!$R$60</f>
        <v/>
      </c>
      <c r="F121" s="27">
        <v>92</v>
      </c>
      <c r="G121" s="26" t="str">
        <f>INDEX([1]Matches!$B$4:$J$113,MATCH($F121,[1]Matches!$B$4:$B$113,0),2)</f>
        <v>W79</v>
      </c>
      <c r="H121" s="26" t="str">
        <f>INDEX([1]Matches!$B$4:$J$113,MATCH($F121,[1]Matches!$B$4:$B$113,0),3)</f>
        <v>W80</v>
      </c>
      <c r="I121" s="26" t="str">
        <f>IFERROR(VLOOKUP($F121,[1]Matches!$B$4:$H$113,7,0),"")</f>
        <v>Mexico City</v>
      </c>
      <c r="J121" s="25"/>
      <c r="K121" s="24"/>
    </row>
    <row r="122" spans="2:11" x14ac:dyDescent="0.35">
      <c r="B122" s="23"/>
      <c r="C122" s="22"/>
      <c r="D122" s="21"/>
      <c r="E122" s="21"/>
      <c r="F122" s="20"/>
      <c r="G122" s="19"/>
      <c r="H122" s="19"/>
      <c r="I122" s="19"/>
      <c r="J122" s="19"/>
      <c r="K122" s="18"/>
    </row>
    <row r="123" spans="2:11" x14ac:dyDescent="0.35">
      <c r="B123" s="30">
        <f>INDEX([1]Matches!$B$4:$J$113,MATCH($F123,[1]Matches!$B$4:$B$113,0),5)</f>
        <v>46209.875</v>
      </c>
      <c r="C123" s="29">
        <f>INDEX([1]Matches!$B$4:$J$113,MATCH($F123,[1]Matches!$B$4:$B$113,0),5)</f>
        <v>46209.875</v>
      </c>
      <c r="D123" s="28" t="str">
        <f>'[1]World Cup'!$H$60</f>
        <v/>
      </c>
      <c r="E123" s="28" t="str">
        <f>'[1]World Cup'!$I$60</f>
        <v/>
      </c>
      <c r="F123" s="27">
        <v>93</v>
      </c>
      <c r="G123" s="26" t="str">
        <f>INDEX([1]Matches!$B$4:$J$113,MATCH($F123,[1]Matches!$B$4:$B$113,0),2)</f>
        <v>W83</v>
      </c>
      <c r="H123" s="26" t="str">
        <f>INDEX([1]Matches!$B$4:$J$113,MATCH($F123,[1]Matches!$B$4:$B$113,0),3)</f>
        <v>W84</v>
      </c>
      <c r="I123" s="26" t="str">
        <f>IFERROR(VLOOKUP($F123,[1]Matches!$B$4:$H$113,7,0),"")</f>
        <v>Dallas</v>
      </c>
      <c r="J123" s="25"/>
      <c r="K123" s="24"/>
    </row>
    <row r="124" spans="2:11" x14ac:dyDescent="0.35">
      <c r="B124" s="30">
        <f>INDEX([1]Matches!$B$4:$J$113,MATCH($F124,[1]Matches!$B$4:$B$113,0),5)</f>
        <v>46210.083333333336</v>
      </c>
      <c r="C124" s="29">
        <f>INDEX([1]Matches!$B$4:$J$113,MATCH($F124,[1]Matches!$B$4:$B$113,0),5)</f>
        <v>46210.083333333336</v>
      </c>
      <c r="D124" s="28" t="str">
        <f>'[1]World Cup'!$K$60</f>
        <v/>
      </c>
      <c r="E124" s="28" t="str">
        <f>'[1]World Cup'!$L$60</f>
        <v/>
      </c>
      <c r="F124" s="27">
        <v>94</v>
      </c>
      <c r="G124" s="26" t="str">
        <f>INDEX([1]Matches!$B$4:$J$113,MATCH($F124,[1]Matches!$B$4:$B$113,0),2)</f>
        <v>W81</v>
      </c>
      <c r="H124" s="26" t="str">
        <f>INDEX([1]Matches!$B$4:$J$113,MATCH($F124,[1]Matches!$B$4:$B$113,0),3)</f>
        <v>W82</v>
      </c>
      <c r="I124" s="26" t="str">
        <f>IFERROR(VLOOKUP($F124,[1]Matches!$B$4:$H$113,7,0),"")</f>
        <v>Seattle</v>
      </c>
      <c r="J124" s="25"/>
      <c r="K124" s="24"/>
    </row>
    <row r="125" spans="2:11" x14ac:dyDescent="0.35">
      <c r="B125" s="23"/>
      <c r="C125" s="22"/>
      <c r="D125" s="21"/>
      <c r="E125" s="21"/>
      <c r="F125" s="20"/>
      <c r="G125" s="19"/>
      <c r="H125" s="19"/>
      <c r="I125" s="19"/>
      <c r="J125" s="19"/>
      <c r="K125" s="18"/>
    </row>
    <row r="126" spans="2:11" x14ac:dyDescent="0.35">
      <c r="B126" s="30">
        <f>INDEX([1]Matches!$B$4:$J$113,MATCH($F126,[1]Matches!$B$4:$B$113,0),5)</f>
        <v>46210.75</v>
      </c>
      <c r="C126" s="29">
        <f>INDEX([1]Matches!$B$4:$J$113,MATCH($F126,[1]Matches!$B$4:$B$113,0),5)</f>
        <v>46210.75</v>
      </c>
      <c r="D126" s="28" t="str">
        <f>'[1]World Cup'!$T$60</f>
        <v/>
      </c>
      <c r="E126" s="28" t="str">
        <f>'[1]World Cup'!$U$60</f>
        <v/>
      </c>
      <c r="F126" s="27">
        <v>95</v>
      </c>
      <c r="G126" s="26" t="str">
        <f>INDEX([1]Matches!$B$4:$J$113,MATCH($F126,[1]Matches!$B$4:$B$113,0),2)</f>
        <v>W86</v>
      </c>
      <c r="H126" s="26" t="str">
        <f>INDEX([1]Matches!$B$4:$J$113,MATCH($F126,[1]Matches!$B$4:$B$113,0),3)</f>
        <v>W88</v>
      </c>
      <c r="I126" s="26" t="str">
        <f>IFERROR(VLOOKUP($F126,[1]Matches!$B$4:$H$113,7,0),"")</f>
        <v>Atlanta</v>
      </c>
      <c r="J126" s="25"/>
      <c r="K126" s="24"/>
    </row>
    <row r="127" spans="2:11" x14ac:dyDescent="0.35">
      <c r="B127" s="30">
        <f>INDEX([1]Matches!$B$4:$J$113,MATCH($F127,[1]Matches!$B$4:$B$113,0),5)</f>
        <v>46210.916666666664</v>
      </c>
      <c r="C127" s="29">
        <f>INDEX([1]Matches!$B$4:$J$113,MATCH($F127,[1]Matches!$B$4:$B$113,0),5)</f>
        <v>46210.916666666664</v>
      </c>
      <c r="D127" s="28" t="str">
        <f>'[1]World Cup'!$W$60</f>
        <v/>
      </c>
      <c r="E127" s="28" t="str">
        <f>'[1]World Cup'!$X$60</f>
        <v/>
      </c>
      <c r="F127" s="27">
        <v>96</v>
      </c>
      <c r="G127" s="26" t="str">
        <f>INDEX([1]Matches!$B$4:$J$113,MATCH($F127,[1]Matches!$B$4:$B$113,0),2)</f>
        <v>W85</v>
      </c>
      <c r="H127" s="26" t="str">
        <f>INDEX([1]Matches!$B$4:$J$113,MATCH($F127,[1]Matches!$B$4:$B$113,0),3)</f>
        <v>W87</v>
      </c>
      <c r="I127" s="26" t="str">
        <f>IFERROR(VLOOKUP($F127,[1]Matches!$B$4:$H$113,7,0),"")</f>
        <v>Vancouver</v>
      </c>
      <c r="J127" s="25"/>
      <c r="K127" s="24"/>
    </row>
    <row r="128" spans="2:11" x14ac:dyDescent="0.35">
      <c r="B128" s="23"/>
      <c r="C128" s="22"/>
      <c r="D128" s="21"/>
      <c r="E128" s="21"/>
      <c r="F128" s="20"/>
      <c r="G128" s="19"/>
      <c r="H128" s="19"/>
      <c r="I128" s="19"/>
      <c r="J128" s="19"/>
      <c r="K128" s="18"/>
    </row>
    <row r="129" spans="2:11" x14ac:dyDescent="0.35">
      <c r="B129" s="17" t="str">
        <f>[1]Language!$E$258</f>
        <v>Quarter final</v>
      </c>
      <c r="C129" s="16"/>
      <c r="D129" s="15"/>
      <c r="E129" s="15"/>
      <c r="F129" s="14"/>
      <c r="G129" s="13"/>
      <c r="H129" s="12"/>
      <c r="I129" s="12"/>
      <c r="J129" s="11"/>
      <c r="K129" s="10"/>
    </row>
    <row r="130" spans="2:11" x14ac:dyDescent="0.35">
      <c r="B130" s="30">
        <f>INDEX([1]Matches!$B$4:$J$113,MATCH($F130,[1]Matches!$B$4:$B$113,0),5)</f>
        <v>46212.916666666664</v>
      </c>
      <c r="C130" s="29">
        <f>INDEX([1]Matches!$B$4:$J$113,MATCH($F130,[1]Matches!$B$4:$B$113,0),5)</f>
        <v>46212.916666666664</v>
      </c>
      <c r="D130" s="28" t="str">
        <f>'[1]World Cup'!$C$70</f>
        <v/>
      </c>
      <c r="E130" s="28" t="str">
        <f>'[1]World Cup'!$E$70</f>
        <v/>
      </c>
      <c r="F130" s="27">
        <v>97</v>
      </c>
      <c r="G130" s="26" t="str">
        <f>INDEX([1]Matches!$B$4:$J$113,MATCH($F130,[1]Matches!$B$4:$B$113,0),2)</f>
        <v>W89</v>
      </c>
      <c r="H130" s="26" t="str">
        <f>INDEX([1]Matches!$B$4:$J$113,MATCH($F130,[1]Matches!$B$4:$B$113,0),3)</f>
        <v>W90</v>
      </c>
      <c r="I130" s="26" t="str">
        <f>IFERROR(VLOOKUP($F130,[1]Matches!$B$4:$H$113,7,0),"")</f>
        <v>Boston</v>
      </c>
      <c r="J130" s="25"/>
      <c r="K130" s="24"/>
    </row>
    <row r="131" spans="2:11" x14ac:dyDescent="0.35">
      <c r="B131" s="30"/>
      <c r="C131" s="29"/>
      <c r="D131" s="36"/>
      <c r="E131" s="36"/>
      <c r="F131" s="27"/>
      <c r="G131" s="26"/>
      <c r="H131" s="26"/>
      <c r="I131" s="26"/>
      <c r="J131" s="35"/>
      <c r="K131" s="34"/>
    </row>
    <row r="132" spans="2:11" x14ac:dyDescent="0.35">
      <c r="B132" s="30">
        <f>INDEX([1]Matches!$B$4:$J$113,MATCH($F132,[1]Matches!$B$4:$B$113,0),5)</f>
        <v>46213.875</v>
      </c>
      <c r="C132" s="29">
        <f>INDEX([1]Matches!$B$4:$J$113,MATCH($F132,[1]Matches!$B$4:$B$113,0),5)</f>
        <v>46213.875</v>
      </c>
      <c r="D132" s="28" t="str">
        <f>'[1]World Cup'!$I$70</f>
        <v/>
      </c>
      <c r="E132" s="28" t="str">
        <f>'[1]World Cup'!$K$70</f>
        <v/>
      </c>
      <c r="F132" s="27">
        <v>98</v>
      </c>
      <c r="G132" s="26" t="str">
        <f>INDEX([1]Matches!$B$4:$J$113,MATCH($F132,[1]Matches!$B$4:$B$113,0),2)</f>
        <v>W93</v>
      </c>
      <c r="H132" s="26" t="str">
        <f>INDEX([1]Matches!$B$4:$J$113,MATCH($F132,[1]Matches!$B$4:$B$113,0),3)</f>
        <v>W94</v>
      </c>
      <c r="I132" s="26" t="str">
        <f>IFERROR(VLOOKUP($F132,[1]Matches!$B$4:$H$113,7,0),"")</f>
        <v>Los Angeles</v>
      </c>
      <c r="J132" s="25"/>
      <c r="K132" s="24"/>
    </row>
    <row r="133" spans="2:11" x14ac:dyDescent="0.35">
      <c r="B133" s="23"/>
      <c r="C133" s="22"/>
      <c r="D133" s="21"/>
      <c r="E133" s="21"/>
      <c r="F133" s="20"/>
      <c r="G133" s="19"/>
      <c r="H133" s="19"/>
      <c r="I133" s="19"/>
      <c r="J133" s="19"/>
      <c r="K133" s="18"/>
    </row>
    <row r="134" spans="2:11" x14ac:dyDescent="0.35">
      <c r="B134" s="30">
        <f>INDEX([1]Matches!$B$4:$J$113,MATCH($F134,[1]Matches!$B$4:$B$113,0),5)</f>
        <v>46214.958333333336</v>
      </c>
      <c r="C134" s="29">
        <f>INDEX([1]Matches!$B$4:$J$113,MATCH($F134,[1]Matches!$B$4:$B$113,0),5)</f>
        <v>46214.958333333336</v>
      </c>
      <c r="D134" s="28" t="str">
        <f>'[1]World Cup'!$O$70</f>
        <v/>
      </c>
      <c r="E134" s="28" t="str">
        <f>'[1]World Cup'!$Q$70</f>
        <v/>
      </c>
      <c r="F134" s="27">
        <v>99</v>
      </c>
      <c r="G134" s="26" t="str">
        <f>INDEX([1]Matches!$B$4:$J$113,MATCH($F134,[1]Matches!$B$4:$B$113,0),2)</f>
        <v>W91</v>
      </c>
      <c r="H134" s="26" t="str">
        <f>INDEX([1]Matches!$B$4:$J$113,MATCH($F134,[1]Matches!$B$4:$B$113,0),3)</f>
        <v>W92</v>
      </c>
      <c r="I134" s="26" t="str">
        <f>IFERROR(VLOOKUP($F134,[1]Matches!$B$4:$H$113,7,0),"")</f>
        <v>Miami</v>
      </c>
      <c r="J134" s="25"/>
      <c r="K134" s="24"/>
    </row>
    <row r="135" spans="2:11" x14ac:dyDescent="0.35">
      <c r="B135" s="30">
        <f>INDEX([1]Matches!$B$4:$J$113,MATCH($F135,[1]Matches!$B$4:$B$113,0),5)</f>
        <v>46215.125</v>
      </c>
      <c r="C135" s="29">
        <f>INDEX([1]Matches!$B$4:$J$113,MATCH($F135,[1]Matches!$B$4:$B$113,0),5)</f>
        <v>46215.125</v>
      </c>
      <c r="D135" s="28" t="str">
        <f>'[1]World Cup'!$U$70</f>
        <v/>
      </c>
      <c r="E135" s="28" t="str">
        <f>'[1]World Cup'!$W$70</f>
        <v/>
      </c>
      <c r="F135" s="27">
        <v>100</v>
      </c>
      <c r="G135" s="26" t="str">
        <f>INDEX([1]Matches!$B$4:$J$113,MATCH($F135,[1]Matches!$B$4:$B$113,0),2)</f>
        <v>W95</v>
      </c>
      <c r="H135" s="26" t="str">
        <f>INDEX([1]Matches!$B$4:$J$113,MATCH($F135,[1]Matches!$B$4:$B$113,0),3)</f>
        <v>W96</v>
      </c>
      <c r="I135" s="26" t="str">
        <f>IFERROR(VLOOKUP($F135,[1]Matches!$B$4:$H$113,7,0),"")</f>
        <v>Kansas City</v>
      </c>
      <c r="J135" s="25"/>
      <c r="K135" s="24"/>
    </row>
    <row r="136" spans="2:11" x14ac:dyDescent="0.35">
      <c r="B136" s="23"/>
      <c r="C136" s="22"/>
      <c r="D136" s="21"/>
      <c r="E136" s="21"/>
      <c r="F136" s="20"/>
      <c r="G136" s="19"/>
      <c r="H136" s="19"/>
      <c r="I136" s="19"/>
      <c r="J136" s="19"/>
      <c r="K136" s="18"/>
    </row>
    <row r="137" spans="2:11" x14ac:dyDescent="0.35">
      <c r="B137" s="17" t="str">
        <f>[1]Language!$E$259</f>
        <v>Semi-Final</v>
      </c>
      <c r="C137" s="16"/>
      <c r="D137" s="15"/>
      <c r="E137" s="15"/>
      <c r="F137" s="14"/>
      <c r="G137" s="13"/>
      <c r="H137" s="12"/>
      <c r="I137" s="12"/>
      <c r="J137" s="11"/>
      <c r="K137" s="10"/>
    </row>
    <row r="138" spans="2:11" x14ac:dyDescent="0.35">
      <c r="B138" s="30">
        <f>INDEX([1]Matches!$B$4:$J$113,MATCH($F138,[1]Matches!$B$4:$B$113,0),5)</f>
        <v>46217.875</v>
      </c>
      <c r="C138" s="29">
        <f>INDEX([1]Matches!$B$4:$J$113,MATCH($F138,[1]Matches!$B$4:$B$113,0),5)</f>
        <v>46217.875</v>
      </c>
      <c r="D138" s="28" t="str">
        <f>'[1]World Cup'!$F$80</f>
        <v/>
      </c>
      <c r="E138" s="28" t="str">
        <f>'[1]World Cup'!$H$80</f>
        <v/>
      </c>
      <c r="F138" s="27">
        <v>101</v>
      </c>
      <c r="G138" s="26" t="str">
        <f>INDEX([1]Matches!$B$4:$J$113,MATCH($F138,[1]Matches!$B$4:$B$113,0),2)</f>
        <v>W97</v>
      </c>
      <c r="H138" s="26" t="str">
        <f>INDEX([1]Matches!$B$4:$J$113,MATCH($F138,[1]Matches!$B$4:$B$113,0),3)</f>
        <v>W98</v>
      </c>
      <c r="I138" s="26" t="str">
        <f>IFERROR(VLOOKUP($F138,[1]Matches!$B$4:$H$113,7,0),"")</f>
        <v>Dallas</v>
      </c>
      <c r="J138" s="25"/>
      <c r="K138" s="24"/>
    </row>
    <row r="139" spans="2:11" x14ac:dyDescent="0.35">
      <c r="B139" s="23"/>
      <c r="C139" s="22"/>
      <c r="D139" s="21"/>
      <c r="E139" s="21"/>
      <c r="F139" s="20"/>
      <c r="G139" s="19"/>
      <c r="H139" s="19"/>
      <c r="I139" s="19"/>
      <c r="J139" s="19"/>
      <c r="K139" s="18"/>
    </row>
    <row r="140" spans="2:11" x14ac:dyDescent="0.35">
      <c r="B140" s="33">
        <f>INDEX([1]Matches!$B$4:$J$113,MATCH($F140,[1]Matches!$B$4:$B$113,0),5)</f>
        <v>46218.875</v>
      </c>
      <c r="C140" s="32">
        <f>INDEX([1]Matches!$B$4:$J$113,MATCH($F140,[1]Matches!$B$4:$B$113,0),5)</f>
        <v>46218.875</v>
      </c>
      <c r="D140" s="31" t="str">
        <f>'[1]World Cup'!$R$80</f>
        <v/>
      </c>
      <c r="E140" s="31" t="str">
        <f>'[1]World Cup'!$T$80</f>
        <v/>
      </c>
      <c r="F140" s="27">
        <v>102</v>
      </c>
      <c r="G140" s="26" t="str">
        <f>INDEX([1]Matches!$B$4:$J$113,MATCH($F140,[1]Matches!$B$4:$B$113,0),2)</f>
        <v>W99</v>
      </c>
      <c r="H140" s="26" t="str">
        <f>INDEX([1]Matches!$B$4:$J$113,MATCH($F140,[1]Matches!$B$4:$B$113,0),3)</f>
        <v>W100</v>
      </c>
      <c r="I140" s="26" t="str">
        <f>IFERROR(VLOOKUP($F140,[1]Matches!$B$4:$H$113,7,0),"")</f>
        <v>Atlanta</v>
      </c>
      <c r="J140" s="25"/>
      <c r="K140" s="24"/>
    </row>
    <row r="141" spans="2:11" x14ac:dyDescent="0.35">
      <c r="B141" s="23"/>
      <c r="C141" s="22"/>
      <c r="D141" s="21"/>
      <c r="E141" s="21"/>
      <c r="F141" s="20"/>
      <c r="G141" s="19"/>
      <c r="H141" s="19"/>
      <c r="I141" s="19"/>
      <c r="J141" s="19"/>
      <c r="K141" s="18"/>
    </row>
    <row r="142" spans="2:11" x14ac:dyDescent="0.35">
      <c r="B142" s="17" t="str">
        <f>[1]Language!$E$172</f>
        <v>Third place</v>
      </c>
      <c r="C142" s="16"/>
      <c r="D142" s="15"/>
      <c r="E142" s="15"/>
      <c r="F142" s="14"/>
      <c r="G142" s="13"/>
      <c r="H142" s="12"/>
      <c r="I142" s="12"/>
      <c r="J142" s="11"/>
      <c r="K142" s="10"/>
    </row>
    <row r="143" spans="2:11" x14ac:dyDescent="0.35">
      <c r="B143" s="30">
        <f>INDEX([1]Matches!$B$4:$J$113,MATCH($F143,[1]Matches!$B$4:$B$113,0),5)</f>
        <v>46221.958333333336</v>
      </c>
      <c r="C143" s="29">
        <f>INDEX([1]Matches!$B$4:$J$113,MATCH($F143,[1]Matches!$B$4:$B$113,0),5)</f>
        <v>46221.958333333336</v>
      </c>
      <c r="D143" s="28" t="str">
        <f>'[1]World Cup'!$L$88</f>
        <v/>
      </c>
      <c r="E143" s="28" t="str">
        <f>'[1]World Cup'!$N$88</f>
        <v/>
      </c>
      <c r="F143" s="27">
        <v>103</v>
      </c>
      <c r="G143" s="26" t="str">
        <f>INDEX([1]Matches!$B$4:$J$113,MATCH($F143,[1]Matches!$B$4:$B$113,0),2)</f>
        <v>RU101</v>
      </c>
      <c r="H143" s="26" t="str">
        <f>INDEX([1]Matches!$B$4:$J$113,MATCH($F143,[1]Matches!$B$4:$B$113,0),3)</f>
        <v>RU102</v>
      </c>
      <c r="I143" s="26" t="str">
        <f>IFERROR(VLOOKUP($F143,[1]Matches!$B$4:$H$113,7,0),"")</f>
        <v>Miami</v>
      </c>
      <c r="J143" s="25"/>
      <c r="K143" s="24"/>
    </row>
    <row r="144" spans="2:11" x14ac:dyDescent="0.35">
      <c r="B144" s="23"/>
      <c r="C144" s="22"/>
      <c r="D144" s="21"/>
      <c r="E144" s="21"/>
      <c r="F144" s="20"/>
      <c r="G144" s="19"/>
      <c r="H144" s="19"/>
      <c r="I144" s="19"/>
      <c r="J144" s="19"/>
      <c r="K144" s="18"/>
    </row>
    <row r="145" spans="2:11" x14ac:dyDescent="0.35">
      <c r="B145" s="17" t="str">
        <f>[1]Language!$E$173</f>
        <v>Final</v>
      </c>
      <c r="C145" s="16"/>
      <c r="D145" s="15"/>
      <c r="E145" s="15"/>
      <c r="F145" s="14"/>
      <c r="G145" s="13"/>
      <c r="H145" s="12"/>
      <c r="I145" s="12"/>
      <c r="J145" s="11"/>
      <c r="K145" s="10"/>
    </row>
    <row r="146" spans="2:11" ht="15" thickBot="1" x14ac:dyDescent="0.4">
      <c r="B146" s="9">
        <f>INDEX([1]Matches!$B$4:$J$113,MATCH($F146,[1]Matches!$B$4:$B$113,0),5)</f>
        <v>46222.875</v>
      </c>
      <c r="C146" s="8">
        <f>INDEX([1]Matches!$B$4:$J$113,MATCH($F146,[1]Matches!$B$4:$B$113,0),5)</f>
        <v>46222.875</v>
      </c>
      <c r="D146" s="7" t="str">
        <f>'[1]World Cup'!$L$98</f>
        <v/>
      </c>
      <c r="E146" s="7" t="str">
        <f>'[1]World Cup'!$N$98</f>
        <v/>
      </c>
      <c r="F146" s="6">
        <v>104</v>
      </c>
      <c r="G146" s="5" t="str">
        <f>INDEX([1]Matches!$B$4:$J$113,MATCH($F146,[1]Matches!$B$4:$B$113,0),2)</f>
        <v>W101</v>
      </c>
      <c r="H146" s="5" t="str">
        <f>INDEX([1]Matches!$B$4:$J$113,MATCH($F146,[1]Matches!$B$4:$B$113,0),3)</f>
        <v>W102</v>
      </c>
      <c r="I146" s="5" t="str">
        <f>IFERROR(VLOOKUP($F146,[1]Matches!$B$4:$H$113,7,0),"")</f>
        <v>New York/New Jersey</v>
      </c>
      <c r="J146" s="4"/>
      <c r="K146" s="3"/>
    </row>
    <row r="147" spans="2:11" ht="15" thickTop="1" x14ac:dyDescent="0.35"/>
    <row r="148" spans="2:11" x14ac:dyDescent="0.35"/>
    <row r="149" spans="2:11" x14ac:dyDescent="0.35"/>
  </sheetData>
  <sheetProtection sheet="1" selectLockedCells="1"/>
  <mergeCells count="4">
    <mergeCell ref="B1:H1"/>
    <mergeCell ref="M2:N2"/>
    <mergeCell ref="G3:H3"/>
    <mergeCell ref="M3:N5"/>
  </mergeCells>
  <conditionalFormatting sqref="B4:B146">
    <cfRule type="expression" dxfId="4" priority="1">
      <formula>INT(B4)=TODAY()</formula>
    </cfRule>
  </conditionalFormatting>
  <conditionalFormatting sqref="D4:E146">
    <cfRule type="expression" dxfId="3" priority="2">
      <formula>AND(D4=$N$10,D4&lt;&gt;"")</formula>
    </cfRule>
    <cfRule type="expression" dxfId="2" priority="3">
      <formula>AND(D4=$N$9,D4&lt;&gt;"")</formula>
    </cfRule>
    <cfRule type="expression" dxfId="1" priority="4">
      <formula>AND(D4=$N$8,D4&lt;&gt;"")</formula>
    </cfRule>
    <cfRule type="expression" dxfId="0" priority="5">
      <formula>AND(D4=$N$7,D4&lt;&gt;"")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819B-9B75-4C49-A11B-E1F7AE39322C}">
  <dimension ref="A1"/>
  <sheetViews>
    <sheetView workbookViewId="0">
      <selection activeCell="D13" sqref="D13"/>
    </sheetView>
  </sheetViews>
  <sheetFormatPr defaultRowHeight="14.5" x14ac:dyDescent="0.35"/>
  <cols>
    <col min="1" max="1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DailySchedule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Keje Schaakxs</dc:creator>
  <cp:lastModifiedBy>Keje Schaakxs</cp:lastModifiedBy>
  <dcterms:created xsi:type="dcterms:W3CDTF">2026-05-02T07:10:51Z</dcterms:created>
  <dcterms:modified xsi:type="dcterms:W3CDTF">2026-05-03T11:39:18Z</dcterms:modified>
</cp:coreProperties>
</file>